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majomuskus/Documents/Documentos - MacBook Air de Maria/Universidad/Noveno Semestre/Integración de Datos y Prospectiva/Retos/Reto 1/"/>
    </mc:Choice>
  </mc:AlternateContent>
  <xr:revisionPtr revIDLastSave="0" documentId="13_ncr:1_{5E7E7D62-A9D4-1E4E-9247-9661297DEA1D}" xr6:coauthVersionLast="47" xr6:coauthVersionMax="47" xr10:uidLastSave="{00000000-0000-0000-0000-000000000000}"/>
  <bookViews>
    <workbookView xWindow="0" yWindow="600" windowWidth="28800" windowHeight="15500" activeTab="1" xr2:uid="{00000000-000D-0000-FFFF-FFFF00000000}"/>
  </bookViews>
  <sheets>
    <sheet name="Fallas Tecnológicas (2)" sheetId="5" r:id="rId1"/>
    <sheet name="Fallas Tecnológicas" sheetId="1" r:id="rId2"/>
    <sheet name="Riesgos" sheetId="3" r:id="rId3"/>
    <sheet name="Gestión" sheetId="4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1" l="1"/>
  <c r="M14" i="1"/>
  <c r="L14" i="1"/>
  <c r="N4" i="1" l="1"/>
  <c r="L16" i="1" s="1"/>
  <c r="N5" i="1"/>
  <c r="N6" i="1"/>
  <c r="N7" i="1"/>
  <c r="N8" i="1"/>
  <c r="N9" i="1"/>
  <c r="N10" i="1"/>
  <c r="N11" i="1"/>
  <c r="N12" i="1"/>
  <c r="N3" i="1"/>
  <c r="M13" i="1"/>
  <c r="M4" i="1"/>
  <c r="M5" i="1"/>
  <c r="M6" i="1"/>
  <c r="M7" i="1"/>
  <c r="M8" i="1"/>
  <c r="M9" i="1"/>
  <c r="M10" i="1"/>
  <c r="M11" i="1"/>
  <c r="M12" i="1"/>
  <c r="M3" i="1"/>
  <c r="L13" i="1"/>
  <c r="L12" i="1"/>
  <c r="L4" i="1"/>
  <c r="L5" i="1"/>
  <c r="L6" i="1"/>
  <c r="L7" i="1"/>
  <c r="L8" i="1"/>
  <c r="L9" i="1"/>
  <c r="L10" i="1"/>
  <c r="L11" i="1"/>
  <c r="K4" i="1"/>
  <c r="K5" i="1"/>
  <c r="K6" i="1"/>
  <c r="K7" i="1"/>
  <c r="K8" i="1"/>
  <c r="K9" i="1"/>
  <c r="K10" i="1"/>
  <c r="K11" i="1"/>
  <c r="K12" i="1"/>
  <c r="K3" i="1"/>
  <c r="J5" i="1"/>
  <c r="I5" i="1"/>
  <c r="I6" i="1"/>
  <c r="J6" i="1" s="1"/>
  <c r="I7" i="1" s="1"/>
  <c r="J7" i="1" s="1"/>
  <c r="I8" i="1" s="1"/>
  <c r="J8" i="1" s="1"/>
  <c r="I9" i="1" s="1"/>
  <c r="J9" i="1" s="1"/>
  <c r="I10" i="1" s="1"/>
  <c r="J10" i="1" s="1"/>
  <c r="I11" i="1" s="1"/>
  <c r="J11" i="1" s="1"/>
  <c r="I12" i="1" s="1"/>
  <c r="J12" i="1" s="1"/>
  <c r="J4" i="1"/>
  <c r="I4" i="1"/>
  <c r="L3" i="1"/>
  <c r="J3" i="1"/>
  <c r="I3" i="1"/>
  <c r="F7" i="1"/>
  <c r="F5" i="1"/>
  <c r="F4" i="1"/>
  <c r="F3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3" i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AA9F7984-2489-694E-A7A6-56DA33823125}">
      <text>
        <r>
          <rPr>
            <sz val="11"/>
            <color theme="1"/>
            <rFont val="Calibri"/>
            <family val="2"/>
            <scheme val="minor"/>
          </rPr>
          <t>Diferencia entre máximo y mínimo
======</t>
        </r>
      </text>
    </comment>
    <comment ref="E7" authorId="0" shapeId="0" xr:uid="{FDAE39C9-1947-EF49-AF74-36D3C67ABEEC}">
      <text>
        <r>
          <rPr>
            <sz val="11"/>
            <color theme="1"/>
            <rFont val="Calibri"/>
            <family val="2"/>
            <scheme val="minor"/>
          </rPr>
          <t>Esto determina el tamaño de cada uno de los clusters
======</t>
        </r>
      </text>
    </comment>
  </commentList>
</comments>
</file>

<file path=xl/sharedStrings.xml><?xml version="1.0" encoding="utf-8"?>
<sst xmlns="http://schemas.openxmlformats.org/spreadsheetml/2006/main" count="74" uniqueCount="63">
  <si>
    <t>Fallas Tecnológicas (Canales Electronicos)</t>
  </si>
  <si>
    <t>Fechas</t>
  </si>
  <si>
    <t>Nivel de Impacto</t>
  </si>
  <si>
    <t>Descripción del Fallo</t>
  </si>
  <si>
    <t>Impacto en la Operación</t>
  </si>
  <si>
    <t>Impacto en el Cliente</t>
  </si>
  <si>
    <t>Impacto Financiero (USD)</t>
  </si>
  <si>
    <t>Desviación</t>
  </si>
  <si>
    <t>Frecuencia</t>
  </si>
  <si>
    <t>Catastrófico</t>
  </si>
  <si>
    <t>Caída total del sistema por más de 24 horas, pérdida masiva de datos de clientes, ciberataque que compromete la integridad de la plataforma, desastre natural que afecta la infraestructura principal.</t>
  </si>
  <si>
    <t>Parálisis completa de las operaciones, incapacidad de prestar servicios, riesgo de quiebra.</t>
  </si>
  <si>
    <t>Pérdida total de confianza, migración masiva de clientes, daños irreparables a la reputación.</t>
  </si>
  <si>
    <t>Millones a miles de millones</t>
  </si>
  <si>
    <t>Muy Alta</t>
  </si>
  <si>
    <t>Crítico</t>
  </si>
  <si>
    <t>Degradación severa del rendimiento por más de 12 horas, interrupción prolongada de servicios clave como transferencias, pérdida parcial de datos críticos, vulnerabilidades de seguridad explotadas a gran escala.</t>
  </si>
  <si>
    <t>Disminución drástica de la eficiencia operativa, afectación a millones de clientes.</t>
  </si>
  <si>
    <t>Pérdida de confianza generalizada, insatisfacción masiva, impacto significativo en la reputación.</t>
  </si>
  <si>
    <t>Cientos de millones a miles de millones</t>
  </si>
  <si>
    <t>Alta</t>
  </si>
  <si>
    <t>Alto</t>
  </si>
  <si>
    <t>Degradación del rendimiento por varias horas, interrupción temporal de servicios clave, pérdida de datos parcial, incidentes de seguridad que afectan a un número considerable de clientes, errores en la interfaz de usuario que impiden realizar transacciones.</t>
  </si>
  <si>
    <t>Disminución de la eficiencia operativa, afectación a cientos de miles de clientes.</t>
  </si>
  <si>
    <t>Insatisfacción del cliente, pérdida de productividad, riesgo de reputación.</t>
  </si>
  <si>
    <t>Decenas de millones a cientos de millones</t>
  </si>
  <si>
    <t>Media</t>
  </si>
  <si>
    <t>Medio</t>
  </si>
  <si>
    <t>Errores en la interfaz de usuario, fallas en funcionalidades secundarias, problemas de rendimiento menores, incidentes de seguridad menores, interrupciones breves de servicios no críticos.</t>
  </si>
  <si>
    <t>Disminución de la experiencia del usuario, impacto limitado en las operaciones.</t>
  </si>
  <si>
    <t>Molestia del cliente, disminución de la satisfacción.</t>
  </si>
  <si>
    <t>Miles a decenas de miles</t>
  </si>
  <si>
    <t>Baja</t>
  </si>
  <si>
    <t>Bajo</t>
  </si>
  <si>
    <t>Errores visuales menores, problemas de usabilidad, notificaciones falsas, interrupciones breves de servicios no críticos.</t>
  </si>
  <si>
    <t>Mínima afectación a las operaciones, impacto en la experiencia del usuario.</t>
  </si>
  <si>
    <t>Molestia temporal del cliente.</t>
  </si>
  <si>
    <t>Cientos a miles</t>
  </si>
  <si>
    <t>Muy Baja</t>
  </si>
  <si>
    <t>Actividades de Gestión</t>
  </si>
  <si>
    <t>Desarrollo de un plan de recuperación de desastres robusto y automatizado, pruebas de penetración continuas, seguros cibernéticos de alta cobertura, implementación de tecnologías de blockchain para mayor seguridad y transparencia, construcción de centros de datos redundantes en diferentes ubicaciones geográficas.</t>
  </si>
  <si>
    <t>Monitoreo en tiempo real de la infraestructura y aplicaciones críticas, implementación de sistemas de detección de intrusos avanzados, realización de auditorías de seguridad regulares, capacitación especializada en ciberseguridad para todo el personal, contratación de un equipo de respuesta a incidentes de seguridad (CSIRT).</t>
  </si>
  <si>
    <t>Gestión de cambios rigurosa, pruebas de carga regulares, implementación de sistemas de detección de anomalías, análisis de riesgos continuo, capacitación del personal en gestión de riesgos.</t>
  </si>
  <si>
    <t>Gestión de la configuración, seguimiento de métricas de calidad del servicio, implementación de herramientas de automatización para pruebas, capacitación del personal en resolución de problemas.</t>
  </si>
  <si>
    <t>Capacitación del personal en seguridad informática básica, implementación de herramientas de gestión de incidencias, seguimiento de indicadores de calidad.</t>
  </si>
  <si>
    <t>Nivel de Gestión</t>
  </si>
  <si>
    <t>Moderado</t>
  </si>
  <si>
    <t>Valor Generado Promedio (Millones)</t>
  </si>
  <si>
    <t>Costo (KUSD)</t>
  </si>
  <si>
    <t>Transacciones Fallidas (Freq)</t>
  </si>
  <si>
    <t>LDA</t>
  </si>
  <si>
    <t>Maximo</t>
  </si>
  <si>
    <t>Minimo</t>
  </si>
  <si>
    <t>Rango</t>
  </si>
  <si>
    <t>Nclusters</t>
  </si>
  <si>
    <t>Tamaño cluster</t>
  </si>
  <si>
    <t>L.inferior</t>
  </si>
  <si>
    <t>L.superior</t>
  </si>
  <si>
    <t>Centroide</t>
  </si>
  <si>
    <t>ND-Cluster</t>
  </si>
  <si>
    <t>Prob.</t>
  </si>
  <si>
    <t>Varianza</t>
  </si>
  <si>
    <t>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</si>
</sst>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* #,##0.00_-;\-&quot;$&quot;* #,##0.00_-;_-&quot;$&quot;* &quot;-&quot;??_-;_-@_-"/>
    <numFmt numFmtId="164" formatCode="_-&quot;$&quot;\ * #,##0_-;\-&quot;$&quot;\ * #,##0_-;_-&quot;$&quot;\ * &quot;-&quot;_-;_-@_-"/>
    <numFmt numFmtId="165" formatCode="_-&quot;$&quot;\ * #,##0.0000_-;\-&quot;$&quot;\ * #,##0.0000_-;_-&quot;$&quot;\ * &quot;-&quot;_-;_-@_-"/>
    <numFmt numFmtId="166" formatCode="_-&quot;$&quot;* #,##0.0000_-;\-&quot;$&quot;* #,##0.0000_-;_-&quot;$&quot;* &quot;-&quot;????_-;_-@_-"/>
    <numFmt numFmtId="167" formatCode="_-&quot;$&quot;* #,##0.00_-;\-&quot;$&quot;* #,##0.00_-;_-&quot;$&quot;* &quot;-&quot;????_-;_-@_-"/>
    <numFmt numFmtId="168" formatCode="0.0000000"/>
    <numFmt numFmtId="169" formatCode="0.00000"/>
    <numFmt numFmtId="170" formatCode="_-* #,##0.000_-;\-* #,##0.000_-;_-* &quot;-&quot;?????_-;_-@_-"/>
    <numFmt numFmtId="171" formatCode="_-* #,##0.00000_-;\-* #,##0.00000_-;_-* &quot;-&quot;_-;_-@_-"/>
    <numFmt numFmtId="172" formatCode="_-* #,##0.0000_-;\-* #,##0.0000_-;_-* &quot;-&quot;_-;_-@_-"/>
    <numFmt numFmtId="173" formatCode="0.000%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19">
    <xf numFmtId="0" fontId="0" fillId="0" borderId="0"/>
    <xf numFmtId="0" fontId="3" fillId="0" borderId="0"/>
    <xf numFmtId="0" fontId="2" fillId="0" borderId="0"/>
    <xf numFmtId="0" fontId="4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3">
    <xf numFmtId="0" fontId="0" fillId="0" borderId="0" xfId="0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5" fontId="0" fillId="0" borderId="1" xfId="517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5" fontId="1" fillId="0" borderId="1" xfId="517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517" applyNumberFormat="1" applyFont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165" fontId="1" fillId="0" borderId="1" xfId="517" applyNumberFormat="1" applyFont="1" applyBorder="1" applyAlignment="1">
      <alignment vertical="center"/>
    </xf>
    <xf numFmtId="165" fontId="0" fillId="0" borderId="1" xfId="517" applyNumberFormat="1" applyFont="1" applyBorder="1" applyAlignment="1">
      <alignment horizontal="center"/>
    </xf>
    <xf numFmtId="165" fontId="0" fillId="0" borderId="4" xfId="517" applyNumberFormat="1" applyFont="1" applyBorder="1" applyAlignment="1">
      <alignment horizontal="center"/>
    </xf>
    <xf numFmtId="165" fontId="0" fillId="0" borderId="0" xfId="517" applyNumberFormat="1" applyFont="1" applyAlignment="1">
      <alignment horizontal="center"/>
    </xf>
    <xf numFmtId="0" fontId="1" fillId="0" borderId="0" xfId="0" applyFont="1"/>
    <xf numFmtId="0" fontId="1" fillId="0" borderId="8" xfId="0" applyFont="1" applyBorder="1" applyAlignment="1">
      <alignment horizontal="center" vertical="center" wrapText="1"/>
    </xf>
    <xf numFmtId="165" fontId="1" fillId="0" borderId="8" xfId="517" applyNumberFormat="1" applyFont="1" applyBorder="1" applyAlignment="1">
      <alignment horizontal="center" vertical="center" wrapText="1"/>
    </xf>
    <xf numFmtId="1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65" fontId="0" fillId="0" borderId="11" xfId="517" applyNumberFormat="1" applyFont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167" fontId="0" fillId="0" borderId="1" xfId="0" applyNumberFormat="1" applyBorder="1"/>
    <xf numFmtId="165" fontId="1" fillId="0" borderId="13" xfId="517" applyNumberFormat="1" applyFont="1" applyBorder="1" applyAlignment="1">
      <alignment horizontal="center" vertical="center" wrapText="1"/>
    </xf>
    <xf numFmtId="167" fontId="0" fillId="0" borderId="11" xfId="0" applyNumberFormat="1" applyBorder="1"/>
    <xf numFmtId="0" fontId="1" fillId="0" borderId="9" xfId="0" applyFont="1" applyBorder="1" applyAlignment="1">
      <alignment horizontal="center" vertical="center"/>
    </xf>
    <xf numFmtId="166" fontId="0" fillId="0" borderId="1" xfId="0" applyNumberFormat="1" applyBorder="1"/>
    <xf numFmtId="166" fontId="0" fillId="0" borderId="11" xfId="0" applyNumberFormat="1" applyBorder="1"/>
    <xf numFmtId="0" fontId="2" fillId="0" borderId="0" xfId="0" applyFont="1"/>
    <xf numFmtId="44" fontId="2" fillId="0" borderId="0" xfId="0" applyNumberFormat="1" applyFont="1"/>
    <xf numFmtId="166" fontId="2" fillId="0" borderId="0" xfId="0" applyNumberFormat="1" applyFont="1"/>
    <xf numFmtId="0" fontId="7" fillId="0" borderId="0" xfId="0" applyFont="1"/>
    <xf numFmtId="168" fontId="8" fillId="2" borderId="0" xfId="0" applyNumberFormat="1" applyFont="1" applyFill="1"/>
    <xf numFmtId="169" fontId="7" fillId="0" borderId="0" xfId="0" applyNumberFormat="1" applyFont="1"/>
    <xf numFmtId="170" fontId="7" fillId="0" borderId="0" xfId="0" applyNumberFormat="1" applyFont="1"/>
    <xf numFmtId="9" fontId="7" fillId="0" borderId="0" xfId="0" applyNumberFormat="1" applyFont="1"/>
    <xf numFmtId="171" fontId="7" fillId="0" borderId="0" xfId="0" applyNumberFormat="1" applyFont="1"/>
    <xf numFmtId="172" fontId="7" fillId="0" borderId="0" xfId="0" applyNumberFormat="1" applyFont="1"/>
    <xf numFmtId="2" fontId="7" fillId="0" borderId="0" xfId="0" applyNumberFormat="1" applyFont="1"/>
    <xf numFmtId="173" fontId="7" fillId="0" borderId="0" xfId="518" applyNumberFormat="1" applyFont="1"/>
    <xf numFmtId="169" fontId="8" fillId="3" borderId="0" xfId="0" applyNumberFormat="1" applyFont="1" applyFill="1"/>
    <xf numFmtId="0" fontId="9" fillId="0" borderId="0" xfId="0" applyFont="1"/>
    <xf numFmtId="0" fontId="1" fillId="0" borderId="14" xfId="0" applyFont="1" applyBorder="1" applyAlignment="1">
      <alignment horizontal="center"/>
    </xf>
  </cellXfs>
  <cellStyles count="519">
    <cellStyle name="Currency [0]" xfId="517" builtinId="7"/>
    <cellStyle name="Normal" xfId="0" builtinId="0"/>
    <cellStyle name="Normal 10" xfId="35" xr:uid="{00000000-0005-0000-0000-000001000000}"/>
    <cellStyle name="Normal 10 2" xfId="99" xr:uid="{00000000-0005-0000-0000-000002000000}"/>
    <cellStyle name="Normal 10 2 2" xfId="227" xr:uid="{00000000-0005-0000-0000-000003000000}"/>
    <cellStyle name="Normal 10 2 2 2" xfId="483" xr:uid="{00000000-0005-0000-0000-000004000000}"/>
    <cellStyle name="Normal 10 2 3" xfId="355" xr:uid="{00000000-0005-0000-0000-000005000000}"/>
    <cellStyle name="Normal 10 3" xfId="163" xr:uid="{00000000-0005-0000-0000-000006000000}"/>
    <cellStyle name="Normal 10 3 2" xfId="419" xr:uid="{00000000-0005-0000-0000-000007000000}"/>
    <cellStyle name="Normal 10 4" xfId="291" xr:uid="{00000000-0005-0000-0000-000008000000}"/>
    <cellStyle name="Normal 11" xfId="67" xr:uid="{00000000-0005-0000-0000-000009000000}"/>
    <cellStyle name="Normal 11 2" xfId="195" xr:uid="{00000000-0005-0000-0000-00000A000000}"/>
    <cellStyle name="Normal 11 2 2" xfId="451" xr:uid="{00000000-0005-0000-0000-00000B000000}"/>
    <cellStyle name="Normal 11 3" xfId="323" xr:uid="{00000000-0005-0000-0000-00000C000000}"/>
    <cellStyle name="Normal 12" xfId="131" xr:uid="{00000000-0005-0000-0000-00000D000000}"/>
    <cellStyle name="Normal 12 2" xfId="387" xr:uid="{00000000-0005-0000-0000-00000E000000}"/>
    <cellStyle name="Normal 13" xfId="259" xr:uid="{00000000-0005-0000-0000-00000F000000}"/>
    <cellStyle name="Normal 2" xfId="2" xr:uid="{00000000-0005-0000-0000-000010000000}"/>
    <cellStyle name="Normal 2 10" xfId="260" xr:uid="{00000000-0005-0000-0000-000011000000}"/>
    <cellStyle name="Normal 2 2" xfId="6" xr:uid="{00000000-0005-0000-0000-000012000000}"/>
    <cellStyle name="Normal 2 2 2" xfId="14" xr:uid="{00000000-0005-0000-0000-000013000000}"/>
    <cellStyle name="Normal 2 2 2 2" xfId="30" xr:uid="{00000000-0005-0000-0000-000014000000}"/>
    <cellStyle name="Normal 2 2 2 2 2" xfId="62" xr:uid="{00000000-0005-0000-0000-000015000000}"/>
    <cellStyle name="Normal 2 2 2 2 2 2" xfId="126" xr:uid="{00000000-0005-0000-0000-000016000000}"/>
    <cellStyle name="Normal 2 2 2 2 2 2 2" xfId="254" xr:uid="{00000000-0005-0000-0000-000017000000}"/>
    <cellStyle name="Normal 2 2 2 2 2 2 2 2" xfId="510" xr:uid="{00000000-0005-0000-0000-000018000000}"/>
    <cellStyle name="Normal 2 2 2 2 2 2 3" xfId="382" xr:uid="{00000000-0005-0000-0000-000019000000}"/>
    <cellStyle name="Normal 2 2 2 2 2 3" xfId="190" xr:uid="{00000000-0005-0000-0000-00001A000000}"/>
    <cellStyle name="Normal 2 2 2 2 2 3 2" xfId="446" xr:uid="{00000000-0005-0000-0000-00001B000000}"/>
    <cellStyle name="Normal 2 2 2 2 2 4" xfId="318" xr:uid="{00000000-0005-0000-0000-00001C000000}"/>
    <cellStyle name="Normal 2 2 2 2 3" xfId="94" xr:uid="{00000000-0005-0000-0000-00001D000000}"/>
    <cellStyle name="Normal 2 2 2 2 3 2" xfId="222" xr:uid="{00000000-0005-0000-0000-00001E000000}"/>
    <cellStyle name="Normal 2 2 2 2 3 2 2" xfId="478" xr:uid="{00000000-0005-0000-0000-00001F000000}"/>
    <cellStyle name="Normal 2 2 2 2 3 3" xfId="350" xr:uid="{00000000-0005-0000-0000-000020000000}"/>
    <cellStyle name="Normal 2 2 2 2 4" xfId="158" xr:uid="{00000000-0005-0000-0000-000021000000}"/>
    <cellStyle name="Normal 2 2 2 2 4 2" xfId="414" xr:uid="{00000000-0005-0000-0000-000022000000}"/>
    <cellStyle name="Normal 2 2 2 2 5" xfId="286" xr:uid="{00000000-0005-0000-0000-000023000000}"/>
    <cellStyle name="Normal 2 2 2 3" xfId="46" xr:uid="{00000000-0005-0000-0000-000024000000}"/>
    <cellStyle name="Normal 2 2 2 3 2" xfId="110" xr:uid="{00000000-0005-0000-0000-000025000000}"/>
    <cellStyle name="Normal 2 2 2 3 2 2" xfId="238" xr:uid="{00000000-0005-0000-0000-000026000000}"/>
    <cellStyle name="Normal 2 2 2 3 2 2 2" xfId="494" xr:uid="{00000000-0005-0000-0000-000027000000}"/>
    <cellStyle name="Normal 2 2 2 3 2 3" xfId="366" xr:uid="{00000000-0005-0000-0000-000028000000}"/>
    <cellStyle name="Normal 2 2 2 3 3" xfId="174" xr:uid="{00000000-0005-0000-0000-000029000000}"/>
    <cellStyle name="Normal 2 2 2 3 3 2" xfId="430" xr:uid="{00000000-0005-0000-0000-00002A000000}"/>
    <cellStyle name="Normal 2 2 2 3 4" xfId="302" xr:uid="{00000000-0005-0000-0000-00002B000000}"/>
    <cellStyle name="Normal 2 2 2 4" xfId="78" xr:uid="{00000000-0005-0000-0000-00002C000000}"/>
    <cellStyle name="Normal 2 2 2 4 2" xfId="206" xr:uid="{00000000-0005-0000-0000-00002D000000}"/>
    <cellStyle name="Normal 2 2 2 4 2 2" xfId="462" xr:uid="{00000000-0005-0000-0000-00002E000000}"/>
    <cellStyle name="Normal 2 2 2 4 3" xfId="334" xr:uid="{00000000-0005-0000-0000-00002F000000}"/>
    <cellStyle name="Normal 2 2 2 5" xfId="142" xr:uid="{00000000-0005-0000-0000-000030000000}"/>
    <cellStyle name="Normal 2 2 2 5 2" xfId="398" xr:uid="{00000000-0005-0000-0000-000031000000}"/>
    <cellStyle name="Normal 2 2 2 6" xfId="270" xr:uid="{00000000-0005-0000-0000-000032000000}"/>
    <cellStyle name="Normal 2 2 3" xfId="22" xr:uid="{00000000-0005-0000-0000-000033000000}"/>
    <cellStyle name="Normal 2 2 3 2" xfId="54" xr:uid="{00000000-0005-0000-0000-000034000000}"/>
    <cellStyle name="Normal 2 2 3 2 2" xfId="118" xr:uid="{00000000-0005-0000-0000-000035000000}"/>
    <cellStyle name="Normal 2 2 3 2 2 2" xfId="246" xr:uid="{00000000-0005-0000-0000-000036000000}"/>
    <cellStyle name="Normal 2 2 3 2 2 2 2" xfId="502" xr:uid="{00000000-0005-0000-0000-000037000000}"/>
    <cellStyle name="Normal 2 2 3 2 2 3" xfId="374" xr:uid="{00000000-0005-0000-0000-000038000000}"/>
    <cellStyle name="Normal 2 2 3 2 3" xfId="182" xr:uid="{00000000-0005-0000-0000-000039000000}"/>
    <cellStyle name="Normal 2 2 3 2 3 2" xfId="438" xr:uid="{00000000-0005-0000-0000-00003A000000}"/>
    <cellStyle name="Normal 2 2 3 2 4" xfId="310" xr:uid="{00000000-0005-0000-0000-00003B000000}"/>
    <cellStyle name="Normal 2 2 3 3" xfId="86" xr:uid="{00000000-0005-0000-0000-00003C000000}"/>
    <cellStyle name="Normal 2 2 3 3 2" xfId="214" xr:uid="{00000000-0005-0000-0000-00003D000000}"/>
    <cellStyle name="Normal 2 2 3 3 2 2" xfId="470" xr:uid="{00000000-0005-0000-0000-00003E000000}"/>
    <cellStyle name="Normal 2 2 3 3 3" xfId="342" xr:uid="{00000000-0005-0000-0000-00003F000000}"/>
    <cellStyle name="Normal 2 2 3 4" xfId="150" xr:uid="{00000000-0005-0000-0000-000040000000}"/>
    <cellStyle name="Normal 2 2 3 4 2" xfId="406" xr:uid="{00000000-0005-0000-0000-000041000000}"/>
    <cellStyle name="Normal 2 2 3 5" xfId="278" xr:uid="{00000000-0005-0000-0000-000042000000}"/>
    <cellStyle name="Normal 2 2 4" xfId="38" xr:uid="{00000000-0005-0000-0000-000043000000}"/>
    <cellStyle name="Normal 2 2 4 2" xfId="102" xr:uid="{00000000-0005-0000-0000-000044000000}"/>
    <cellStyle name="Normal 2 2 4 2 2" xfId="230" xr:uid="{00000000-0005-0000-0000-000045000000}"/>
    <cellStyle name="Normal 2 2 4 2 2 2" xfId="486" xr:uid="{00000000-0005-0000-0000-000046000000}"/>
    <cellStyle name="Normal 2 2 4 2 3" xfId="358" xr:uid="{00000000-0005-0000-0000-000047000000}"/>
    <cellStyle name="Normal 2 2 4 3" xfId="166" xr:uid="{00000000-0005-0000-0000-000048000000}"/>
    <cellStyle name="Normal 2 2 4 3 2" xfId="422" xr:uid="{00000000-0005-0000-0000-000049000000}"/>
    <cellStyle name="Normal 2 2 4 4" xfId="294" xr:uid="{00000000-0005-0000-0000-00004A000000}"/>
    <cellStyle name="Normal 2 2 5" xfId="70" xr:uid="{00000000-0005-0000-0000-00004B000000}"/>
    <cellStyle name="Normal 2 2 5 2" xfId="198" xr:uid="{00000000-0005-0000-0000-00004C000000}"/>
    <cellStyle name="Normal 2 2 5 2 2" xfId="454" xr:uid="{00000000-0005-0000-0000-00004D000000}"/>
    <cellStyle name="Normal 2 2 5 3" xfId="326" xr:uid="{00000000-0005-0000-0000-00004E000000}"/>
    <cellStyle name="Normal 2 2 6" xfId="134" xr:uid="{00000000-0005-0000-0000-00004F000000}"/>
    <cellStyle name="Normal 2 2 6 2" xfId="390" xr:uid="{00000000-0005-0000-0000-000050000000}"/>
    <cellStyle name="Normal 2 2 7" xfId="262" xr:uid="{00000000-0005-0000-0000-000051000000}"/>
    <cellStyle name="Normal 2 3" xfId="8" xr:uid="{00000000-0005-0000-0000-000052000000}"/>
    <cellStyle name="Normal 2 3 2" xfId="16" xr:uid="{00000000-0005-0000-0000-000053000000}"/>
    <cellStyle name="Normal 2 3 2 2" xfId="32" xr:uid="{00000000-0005-0000-0000-000054000000}"/>
    <cellStyle name="Normal 2 3 2 2 2" xfId="64" xr:uid="{00000000-0005-0000-0000-000055000000}"/>
    <cellStyle name="Normal 2 3 2 2 2 2" xfId="128" xr:uid="{00000000-0005-0000-0000-000056000000}"/>
    <cellStyle name="Normal 2 3 2 2 2 2 2" xfId="256" xr:uid="{00000000-0005-0000-0000-000057000000}"/>
    <cellStyle name="Normal 2 3 2 2 2 2 2 2" xfId="512" xr:uid="{00000000-0005-0000-0000-000058000000}"/>
    <cellStyle name="Normal 2 3 2 2 2 2 3" xfId="384" xr:uid="{00000000-0005-0000-0000-000059000000}"/>
    <cellStyle name="Normal 2 3 2 2 2 3" xfId="192" xr:uid="{00000000-0005-0000-0000-00005A000000}"/>
    <cellStyle name="Normal 2 3 2 2 2 3 2" xfId="448" xr:uid="{00000000-0005-0000-0000-00005B000000}"/>
    <cellStyle name="Normal 2 3 2 2 2 4" xfId="320" xr:uid="{00000000-0005-0000-0000-00005C000000}"/>
    <cellStyle name="Normal 2 3 2 2 3" xfId="96" xr:uid="{00000000-0005-0000-0000-00005D000000}"/>
    <cellStyle name="Normal 2 3 2 2 3 2" xfId="224" xr:uid="{00000000-0005-0000-0000-00005E000000}"/>
    <cellStyle name="Normal 2 3 2 2 3 2 2" xfId="480" xr:uid="{00000000-0005-0000-0000-00005F000000}"/>
    <cellStyle name="Normal 2 3 2 2 3 3" xfId="352" xr:uid="{00000000-0005-0000-0000-000060000000}"/>
    <cellStyle name="Normal 2 3 2 2 4" xfId="160" xr:uid="{00000000-0005-0000-0000-000061000000}"/>
    <cellStyle name="Normal 2 3 2 2 4 2" xfId="416" xr:uid="{00000000-0005-0000-0000-000062000000}"/>
    <cellStyle name="Normal 2 3 2 2 5" xfId="288" xr:uid="{00000000-0005-0000-0000-000063000000}"/>
    <cellStyle name="Normal 2 3 2 3" xfId="48" xr:uid="{00000000-0005-0000-0000-000064000000}"/>
    <cellStyle name="Normal 2 3 2 3 2" xfId="112" xr:uid="{00000000-0005-0000-0000-000065000000}"/>
    <cellStyle name="Normal 2 3 2 3 2 2" xfId="240" xr:uid="{00000000-0005-0000-0000-000066000000}"/>
    <cellStyle name="Normal 2 3 2 3 2 2 2" xfId="496" xr:uid="{00000000-0005-0000-0000-000067000000}"/>
    <cellStyle name="Normal 2 3 2 3 2 3" xfId="368" xr:uid="{00000000-0005-0000-0000-000068000000}"/>
    <cellStyle name="Normal 2 3 2 3 3" xfId="176" xr:uid="{00000000-0005-0000-0000-000069000000}"/>
    <cellStyle name="Normal 2 3 2 3 3 2" xfId="432" xr:uid="{00000000-0005-0000-0000-00006A000000}"/>
    <cellStyle name="Normal 2 3 2 3 4" xfId="304" xr:uid="{00000000-0005-0000-0000-00006B000000}"/>
    <cellStyle name="Normal 2 3 2 4" xfId="80" xr:uid="{00000000-0005-0000-0000-00006C000000}"/>
    <cellStyle name="Normal 2 3 2 4 2" xfId="208" xr:uid="{00000000-0005-0000-0000-00006D000000}"/>
    <cellStyle name="Normal 2 3 2 4 2 2" xfId="464" xr:uid="{00000000-0005-0000-0000-00006E000000}"/>
    <cellStyle name="Normal 2 3 2 4 3" xfId="336" xr:uid="{00000000-0005-0000-0000-00006F000000}"/>
    <cellStyle name="Normal 2 3 2 5" xfId="144" xr:uid="{00000000-0005-0000-0000-000070000000}"/>
    <cellStyle name="Normal 2 3 2 5 2" xfId="400" xr:uid="{00000000-0005-0000-0000-000071000000}"/>
    <cellStyle name="Normal 2 3 2 6" xfId="272" xr:uid="{00000000-0005-0000-0000-000072000000}"/>
    <cellStyle name="Normal 2 3 3" xfId="24" xr:uid="{00000000-0005-0000-0000-000073000000}"/>
    <cellStyle name="Normal 2 3 3 2" xfId="56" xr:uid="{00000000-0005-0000-0000-000074000000}"/>
    <cellStyle name="Normal 2 3 3 2 2" xfId="120" xr:uid="{00000000-0005-0000-0000-000075000000}"/>
    <cellStyle name="Normal 2 3 3 2 2 2" xfId="248" xr:uid="{00000000-0005-0000-0000-000076000000}"/>
    <cellStyle name="Normal 2 3 3 2 2 2 2" xfId="504" xr:uid="{00000000-0005-0000-0000-000077000000}"/>
    <cellStyle name="Normal 2 3 3 2 2 3" xfId="376" xr:uid="{00000000-0005-0000-0000-000078000000}"/>
    <cellStyle name="Normal 2 3 3 2 3" xfId="184" xr:uid="{00000000-0005-0000-0000-000079000000}"/>
    <cellStyle name="Normal 2 3 3 2 3 2" xfId="440" xr:uid="{00000000-0005-0000-0000-00007A000000}"/>
    <cellStyle name="Normal 2 3 3 2 4" xfId="312" xr:uid="{00000000-0005-0000-0000-00007B000000}"/>
    <cellStyle name="Normal 2 3 3 3" xfId="88" xr:uid="{00000000-0005-0000-0000-00007C000000}"/>
    <cellStyle name="Normal 2 3 3 3 2" xfId="216" xr:uid="{00000000-0005-0000-0000-00007D000000}"/>
    <cellStyle name="Normal 2 3 3 3 2 2" xfId="472" xr:uid="{00000000-0005-0000-0000-00007E000000}"/>
    <cellStyle name="Normal 2 3 3 3 3" xfId="344" xr:uid="{00000000-0005-0000-0000-00007F000000}"/>
    <cellStyle name="Normal 2 3 3 4" xfId="152" xr:uid="{00000000-0005-0000-0000-000080000000}"/>
    <cellStyle name="Normal 2 3 3 4 2" xfId="408" xr:uid="{00000000-0005-0000-0000-000081000000}"/>
    <cellStyle name="Normal 2 3 3 5" xfId="280" xr:uid="{00000000-0005-0000-0000-000082000000}"/>
    <cellStyle name="Normal 2 3 4" xfId="40" xr:uid="{00000000-0005-0000-0000-000083000000}"/>
    <cellStyle name="Normal 2 3 4 2" xfId="104" xr:uid="{00000000-0005-0000-0000-000084000000}"/>
    <cellStyle name="Normal 2 3 4 2 2" xfId="232" xr:uid="{00000000-0005-0000-0000-000085000000}"/>
    <cellStyle name="Normal 2 3 4 2 2 2" xfId="488" xr:uid="{00000000-0005-0000-0000-000086000000}"/>
    <cellStyle name="Normal 2 3 4 2 3" xfId="360" xr:uid="{00000000-0005-0000-0000-000087000000}"/>
    <cellStyle name="Normal 2 3 4 3" xfId="168" xr:uid="{00000000-0005-0000-0000-000088000000}"/>
    <cellStyle name="Normal 2 3 4 3 2" xfId="424" xr:uid="{00000000-0005-0000-0000-000089000000}"/>
    <cellStyle name="Normal 2 3 4 4" xfId="296" xr:uid="{00000000-0005-0000-0000-00008A000000}"/>
    <cellStyle name="Normal 2 3 5" xfId="72" xr:uid="{00000000-0005-0000-0000-00008B000000}"/>
    <cellStyle name="Normal 2 3 5 2" xfId="200" xr:uid="{00000000-0005-0000-0000-00008C000000}"/>
    <cellStyle name="Normal 2 3 5 2 2" xfId="456" xr:uid="{00000000-0005-0000-0000-00008D000000}"/>
    <cellStyle name="Normal 2 3 5 3" xfId="328" xr:uid="{00000000-0005-0000-0000-00008E000000}"/>
    <cellStyle name="Normal 2 3 6" xfId="136" xr:uid="{00000000-0005-0000-0000-00008F000000}"/>
    <cellStyle name="Normal 2 3 6 2" xfId="392" xr:uid="{00000000-0005-0000-0000-000090000000}"/>
    <cellStyle name="Normal 2 3 7" xfId="264" xr:uid="{00000000-0005-0000-0000-000091000000}"/>
    <cellStyle name="Normal 2 4" xfId="10" xr:uid="{00000000-0005-0000-0000-000092000000}"/>
    <cellStyle name="Normal 2 4 2" xfId="18" xr:uid="{00000000-0005-0000-0000-000093000000}"/>
    <cellStyle name="Normal 2 4 2 2" xfId="34" xr:uid="{00000000-0005-0000-0000-000094000000}"/>
    <cellStyle name="Normal 2 4 2 2 2" xfId="66" xr:uid="{00000000-0005-0000-0000-000095000000}"/>
    <cellStyle name="Normal 2 4 2 2 2 2" xfId="130" xr:uid="{00000000-0005-0000-0000-000096000000}"/>
    <cellStyle name="Normal 2 4 2 2 2 2 2" xfId="258" xr:uid="{00000000-0005-0000-0000-000097000000}"/>
    <cellStyle name="Normal 2 4 2 2 2 2 2 2" xfId="514" xr:uid="{00000000-0005-0000-0000-000098000000}"/>
    <cellStyle name="Normal 2 4 2 2 2 2 3" xfId="386" xr:uid="{00000000-0005-0000-0000-000099000000}"/>
    <cellStyle name="Normal 2 4 2 2 2 3" xfId="194" xr:uid="{00000000-0005-0000-0000-00009A000000}"/>
    <cellStyle name="Normal 2 4 2 2 2 3 2" xfId="450" xr:uid="{00000000-0005-0000-0000-00009B000000}"/>
    <cellStyle name="Normal 2 4 2 2 2 4" xfId="322" xr:uid="{00000000-0005-0000-0000-00009C000000}"/>
    <cellStyle name="Normal 2 4 2 2 3" xfId="98" xr:uid="{00000000-0005-0000-0000-00009D000000}"/>
    <cellStyle name="Normal 2 4 2 2 3 2" xfId="226" xr:uid="{00000000-0005-0000-0000-00009E000000}"/>
    <cellStyle name="Normal 2 4 2 2 3 2 2" xfId="482" xr:uid="{00000000-0005-0000-0000-00009F000000}"/>
    <cellStyle name="Normal 2 4 2 2 3 3" xfId="354" xr:uid="{00000000-0005-0000-0000-0000A0000000}"/>
    <cellStyle name="Normal 2 4 2 2 4" xfId="162" xr:uid="{00000000-0005-0000-0000-0000A1000000}"/>
    <cellStyle name="Normal 2 4 2 2 4 2" xfId="418" xr:uid="{00000000-0005-0000-0000-0000A2000000}"/>
    <cellStyle name="Normal 2 4 2 2 5" xfId="290" xr:uid="{00000000-0005-0000-0000-0000A3000000}"/>
    <cellStyle name="Normal 2 4 2 3" xfId="50" xr:uid="{00000000-0005-0000-0000-0000A4000000}"/>
    <cellStyle name="Normal 2 4 2 3 2" xfId="114" xr:uid="{00000000-0005-0000-0000-0000A5000000}"/>
    <cellStyle name="Normal 2 4 2 3 2 2" xfId="242" xr:uid="{00000000-0005-0000-0000-0000A6000000}"/>
    <cellStyle name="Normal 2 4 2 3 2 2 2" xfId="498" xr:uid="{00000000-0005-0000-0000-0000A7000000}"/>
    <cellStyle name="Normal 2 4 2 3 2 3" xfId="370" xr:uid="{00000000-0005-0000-0000-0000A8000000}"/>
    <cellStyle name="Normal 2 4 2 3 3" xfId="178" xr:uid="{00000000-0005-0000-0000-0000A9000000}"/>
    <cellStyle name="Normal 2 4 2 3 3 2" xfId="434" xr:uid="{00000000-0005-0000-0000-0000AA000000}"/>
    <cellStyle name="Normal 2 4 2 3 4" xfId="306" xr:uid="{00000000-0005-0000-0000-0000AB000000}"/>
    <cellStyle name="Normal 2 4 2 4" xfId="82" xr:uid="{00000000-0005-0000-0000-0000AC000000}"/>
    <cellStyle name="Normal 2 4 2 4 2" xfId="210" xr:uid="{00000000-0005-0000-0000-0000AD000000}"/>
    <cellStyle name="Normal 2 4 2 4 2 2" xfId="466" xr:uid="{00000000-0005-0000-0000-0000AE000000}"/>
    <cellStyle name="Normal 2 4 2 4 3" xfId="338" xr:uid="{00000000-0005-0000-0000-0000AF000000}"/>
    <cellStyle name="Normal 2 4 2 5" xfId="146" xr:uid="{00000000-0005-0000-0000-0000B0000000}"/>
    <cellStyle name="Normal 2 4 2 5 2" xfId="402" xr:uid="{00000000-0005-0000-0000-0000B1000000}"/>
    <cellStyle name="Normal 2 4 2 6" xfId="274" xr:uid="{00000000-0005-0000-0000-0000B2000000}"/>
    <cellStyle name="Normal 2 4 3" xfId="26" xr:uid="{00000000-0005-0000-0000-0000B3000000}"/>
    <cellStyle name="Normal 2 4 3 2" xfId="58" xr:uid="{00000000-0005-0000-0000-0000B4000000}"/>
    <cellStyle name="Normal 2 4 3 2 2" xfId="122" xr:uid="{00000000-0005-0000-0000-0000B5000000}"/>
    <cellStyle name="Normal 2 4 3 2 2 2" xfId="250" xr:uid="{00000000-0005-0000-0000-0000B6000000}"/>
    <cellStyle name="Normal 2 4 3 2 2 2 2" xfId="506" xr:uid="{00000000-0005-0000-0000-0000B7000000}"/>
    <cellStyle name="Normal 2 4 3 2 2 3" xfId="378" xr:uid="{00000000-0005-0000-0000-0000B8000000}"/>
    <cellStyle name="Normal 2 4 3 2 3" xfId="186" xr:uid="{00000000-0005-0000-0000-0000B9000000}"/>
    <cellStyle name="Normal 2 4 3 2 3 2" xfId="442" xr:uid="{00000000-0005-0000-0000-0000BA000000}"/>
    <cellStyle name="Normal 2 4 3 2 4" xfId="314" xr:uid="{00000000-0005-0000-0000-0000BB000000}"/>
    <cellStyle name="Normal 2 4 3 3" xfId="90" xr:uid="{00000000-0005-0000-0000-0000BC000000}"/>
    <cellStyle name="Normal 2 4 3 3 2" xfId="218" xr:uid="{00000000-0005-0000-0000-0000BD000000}"/>
    <cellStyle name="Normal 2 4 3 3 2 2" xfId="474" xr:uid="{00000000-0005-0000-0000-0000BE000000}"/>
    <cellStyle name="Normal 2 4 3 3 3" xfId="346" xr:uid="{00000000-0005-0000-0000-0000BF000000}"/>
    <cellStyle name="Normal 2 4 3 4" xfId="154" xr:uid="{00000000-0005-0000-0000-0000C0000000}"/>
    <cellStyle name="Normal 2 4 3 4 2" xfId="410" xr:uid="{00000000-0005-0000-0000-0000C1000000}"/>
    <cellStyle name="Normal 2 4 3 5" xfId="282" xr:uid="{00000000-0005-0000-0000-0000C2000000}"/>
    <cellStyle name="Normal 2 4 4" xfId="42" xr:uid="{00000000-0005-0000-0000-0000C3000000}"/>
    <cellStyle name="Normal 2 4 4 2" xfId="106" xr:uid="{00000000-0005-0000-0000-0000C4000000}"/>
    <cellStyle name="Normal 2 4 4 2 2" xfId="234" xr:uid="{00000000-0005-0000-0000-0000C5000000}"/>
    <cellStyle name="Normal 2 4 4 2 2 2" xfId="490" xr:uid="{00000000-0005-0000-0000-0000C6000000}"/>
    <cellStyle name="Normal 2 4 4 2 3" xfId="362" xr:uid="{00000000-0005-0000-0000-0000C7000000}"/>
    <cellStyle name="Normal 2 4 4 3" xfId="170" xr:uid="{00000000-0005-0000-0000-0000C8000000}"/>
    <cellStyle name="Normal 2 4 4 3 2" xfId="426" xr:uid="{00000000-0005-0000-0000-0000C9000000}"/>
    <cellStyle name="Normal 2 4 4 4" xfId="298" xr:uid="{00000000-0005-0000-0000-0000CA000000}"/>
    <cellStyle name="Normal 2 4 5" xfId="74" xr:uid="{00000000-0005-0000-0000-0000CB000000}"/>
    <cellStyle name="Normal 2 4 5 2" xfId="202" xr:uid="{00000000-0005-0000-0000-0000CC000000}"/>
    <cellStyle name="Normal 2 4 5 2 2" xfId="458" xr:uid="{00000000-0005-0000-0000-0000CD000000}"/>
    <cellStyle name="Normal 2 4 5 3" xfId="330" xr:uid="{00000000-0005-0000-0000-0000CE000000}"/>
    <cellStyle name="Normal 2 4 6" xfId="138" xr:uid="{00000000-0005-0000-0000-0000CF000000}"/>
    <cellStyle name="Normal 2 4 6 2" xfId="394" xr:uid="{00000000-0005-0000-0000-0000D0000000}"/>
    <cellStyle name="Normal 2 4 7" xfId="266" xr:uid="{00000000-0005-0000-0000-0000D1000000}"/>
    <cellStyle name="Normal 2 5" xfId="12" xr:uid="{00000000-0005-0000-0000-0000D2000000}"/>
    <cellStyle name="Normal 2 5 2" xfId="28" xr:uid="{00000000-0005-0000-0000-0000D3000000}"/>
    <cellStyle name="Normal 2 5 2 2" xfId="60" xr:uid="{00000000-0005-0000-0000-0000D4000000}"/>
    <cellStyle name="Normal 2 5 2 2 2" xfId="124" xr:uid="{00000000-0005-0000-0000-0000D5000000}"/>
    <cellStyle name="Normal 2 5 2 2 2 2" xfId="252" xr:uid="{00000000-0005-0000-0000-0000D6000000}"/>
    <cellStyle name="Normal 2 5 2 2 2 2 2" xfId="508" xr:uid="{00000000-0005-0000-0000-0000D7000000}"/>
    <cellStyle name="Normal 2 5 2 2 2 3" xfId="380" xr:uid="{00000000-0005-0000-0000-0000D8000000}"/>
    <cellStyle name="Normal 2 5 2 2 3" xfId="188" xr:uid="{00000000-0005-0000-0000-0000D9000000}"/>
    <cellStyle name="Normal 2 5 2 2 3 2" xfId="444" xr:uid="{00000000-0005-0000-0000-0000DA000000}"/>
    <cellStyle name="Normal 2 5 2 2 4" xfId="316" xr:uid="{00000000-0005-0000-0000-0000DB000000}"/>
    <cellStyle name="Normal 2 5 2 3" xfId="92" xr:uid="{00000000-0005-0000-0000-0000DC000000}"/>
    <cellStyle name="Normal 2 5 2 3 2" xfId="220" xr:uid="{00000000-0005-0000-0000-0000DD000000}"/>
    <cellStyle name="Normal 2 5 2 3 2 2" xfId="476" xr:uid="{00000000-0005-0000-0000-0000DE000000}"/>
    <cellStyle name="Normal 2 5 2 3 3" xfId="348" xr:uid="{00000000-0005-0000-0000-0000DF000000}"/>
    <cellStyle name="Normal 2 5 2 4" xfId="156" xr:uid="{00000000-0005-0000-0000-0000E0000000}"/>
    <cellStyle name="Normal 2 5 2 4 2" xfId="412" xr:uid="{00000000-0005-0000-0000-0000E1000000}"/>
    <cellStyle name="Normal 2 5 2 5" xfId="284" xr:uid="{00000000-0005-0000-0000-0000E2000000}"/>
    <cellStyle name="Normal 2 5 3" xfId="44" xr:uid="{00000000-0005-0000-0000-0000E3000000}"/>
    <cellStyle name="Normal 2 5 3 2" xfId="108" xr:uid="{00000000-0005-0000-0000-0000E4000000}"/>
    <cellStyle name="Normal 2 5 3 2 2" xfId="236" xr:uid="{00000000-0005-0000-0000-0000E5000000}"/>
    <cellStyle name="Normal 2 5 3 2 2 2" xfId="492" xr:uid="{00000000-0005-0000-0000-0000E6000000}"/>
    <cellStyle name="Normal 2 5 3 2 3" xfId="364" xr:uid="{00000000-0005-0000-0000-0000E7000000}"/>
    <cellStyle name="Normal 2 5 3 3" xfId="172" xr:uid="{00000000-0005-0000-0000-0000E8000000}"/>
    <cellStyle name="Normal 2 5 3 3 2" xfId="428" xr:uid="{00000000-0005-0000-0000-0000E9000000}"/>
    <cellStyle name="Normal 2 5 3 4" xfId="300" xr:uid="{00000000-0005-0000-0000-0000EA000000}"/>
    <cellStyle name="Normal 2 5 4" xfId="76" xr:uid="{00000000-0005-0000-0000-0000EB000000}"/>
    <cellStyle name="Normal 2 5 4 2" xfId="204" xr:uid="{00000000-0005-0000-0000-0000EC000000}"/>
    <cellStyle name="Normal 2 5 4 2 2" xfId="460" xr:uid="{00000000-0005-0000-0000-0000ED000000}"/>
    <cellStyle name="Normal 2 5 4 3" xfId="332" xr:uid="{00000000-0005-0000-0000-0000EE000000}"/>
    <cellStyle name="Normal 2 5 5" xfId="140" xr:uid="{00000000-0005-0000-0000-0000EF000000}"/>
    <cellStyle name="Normal 2 5 5 2" xfId="396" xr:uid="{00000000-0005-0000-0000-0000F0000000}"/>
    <cellStyle name="Normal 2 5 6" xfId="268" xr:uid="{00000000-0005-0000-0000-0000F1000000}"/>
    <cellStyle name="Normal 2 6" xfId="20" xr:uid="{00000000-0005-0000-0000-0000F2000000}"/>
    <cellStyle name="Normal 2 6 2" xfId="52" xr:uid="{00000000-0005-0000-0000-0000F3000000}"/>
    <cellStyle name="Normal 2 6 2 2" xfId="116" xr:uid="{00000000-0005-0000-0000-0000F4000000}"/>
    <cellStyle name="Normal 2 6 2 2 2" xfId="244" xr:uid="{00000000-0005-0000-0000-0000F5000000}"/>
    <cellStyle name="Normal 2 6 2 2 2 2" xfId="500" xr:uid="{00000000-0005-0000-0000-0000F6000000}"/>
    <cellStyle name="Normal 2 6 2 2 3" xfId="372" xr:uid="{00000000-0005-0000-0000-0000F7000000}"/>
    <cellStyle name="Normal 2 6 2 3" xfId="180" xr:uid="{00000000-0005-0000-0000-0000F8000000}"/>
    <cellStyle name="Normal 2 6 2 3 2" xfId="436" xr:uid="{00000000-0005-0000-0000-0000F9000000}"/>
    <cellStyle name="Normal 2 6 2 4" xfId="308" xr:uid="{00000000-0005-0000-0000-0000FA000000}"/>
    <cellStyle name="Normal 2 6 3" xfId="84" xr:uid="{00000000-0005-0000-0000-0000FB000000}"/>
    <cellStyle name="Normal 2 6 3 2" xfId="212" xr:uid="{00000000-0005-0000-0000-0000FC000000}"/>
    <cellStyle name="Normal 2 6 3 2 2" xfId="468" xr:uid="{00000000-0005-0000-0000-0000FD000000}"/>
    <cellStyle name="Normal 2 6 3 3" xfId="340" xr:uid="{00000000-0005-0000-0000-0000FE000000}"/>
    <cellStyle name="Normal 2 6 4" xfId="148" xr:uid="{00000000-0005-0000-0000-0000FF000000}"/>
    <cellStyle name="Normal 2 6 4 2" xfId="404" xr:uid="{00000000-0005-0000-0000-000000010000}"/>
    <cellStyle name="Normal 2 6 5" xfId="276" xr:uid="{00000000-0005-0000-0000-000001010000}"/>
    <cellStyle name="Normal 2 7" xfId="36" xr:uid="{00000000-0005-0000-0000-000002010000}"/>
    <cellStyle name="Normal 2 7 2" xfId="100" xr:uid="{00000000-0005-0000-0000-000003010000}"/>
    <cellStyle name="Normal 2 7 2 2" xfId="228" xr:uid="{00000000-0005-0000-0000-000004010000}"/>
    <cellStyle name="Normal 2 7 2 2 2" xfId="484" xr:uid="{00000000-0005-0000-0000-000005010000}"/>
    <cellStyle name="Normal 2 7 2 3" xfId="356" xr:uid="{00000000-0005-0000-0000-000006010000}"/>
    <cellStyle name="Normal 2 7 3" xfId="164" xr:uid="{00000000-0005-0000-0000-000007010000}"/>
    <cellStyle name="Normal 2 7 3 2" xfId="420" xr:uid="{00000000-0005-0000-0000-000008010000}"/>
    <cellStyle name="Normal 2 7 4" xfId="292" xr:uid="{00000000-0005-0000-0000-000009010000}"/>
    <cellStyle name="Normal 2 8" xfId="68" xr:uid="{00000000-0005-0000-0000-00000A010000}"/>
    <cellStyle name="Normal 2 8 2" xfId="196" xr:uid="{00000000-0005-0000-0000-00000B010000}"/>
    <cellStyle name="Normal 2 8 2 2" xfId="452" xr:uid="{00000000-0005-0000-0000-00000C010000}"/>
    <cellStyle name="Normal 2 8 3" xfId="324" xr:uid="{00000000-0005-0000-0000-00000D010000}"/>
    <cellStyle name="Normal 2 9" xfId="132" xr:uid="{00000000-0005-0000-0000-00000E010000}"/>
    <cellStyle name="Normal 2 9 2" xfId="388" xr:uid="{00000000-0005-0000-0000-00000F010000}"/>
    <cellStyle name="Normal 3" xfId="1" xr:uid="{00000000-0005-0000-0000-000010010000}"/>
    <cellStyle name="Normal 3 2" xfId="5" xr:uid="{00000000-0005-0000-0000-000011010000}"/>
    <cellStyle name="Normal 3 2 2" xfId="516" xr:uid="{00000000-0005-0000-0000-000012010000}"/>
    <cellStyle name="Normal 4" xfId="4" xr:uid="{00000000-0005-0000-0000-000013010000}"/>
    <cellStyle name="Normal 4 2" xfId="13" xr:uid="{00000000-0005-0000-0000-000014010000}"/>
    <cellStyle name="Normal 4 2 2" xfId="29" xr:uid="{00000000-0005-0000-0000-000015010000}"/>
    <cellStyle name="Normal 4 2 2 2" xfId="61" xr:uid="{00000000-0005-0000-0000-000016010000}"/>
    <cellStyle name="Normal 4 2 2 2 2" xfId="125" xr:uid="{00000000-0005-0000-0000-000017010000}"/>
    <cellStyle name="Normal 4 2 2 2 2 2" xfId="253" xr:uid="{00000000-0005-0000-0000-000018010000}"/>
    <cellStyle name="Normal 4 2 2 2 2 2 2" xfId="509" xr:uid="{00000000-0005-0000-0000-000019010000}"/>
    <cellStyle name="Normal 4 2 2 2 2 3" xfId="381" xr:uid="{00000000-0005-0000-0000-00001A010000}"/>
    <cellStyle name="Normal 4 2 2 2 3" xfId="189" xr:uid="{00000000-0005-0000-0000-00001B010000}"/>
    <cellStyle name="Normal 4 2 2 2 3 2" xfId="445" xr:uid="{00000000-0005-0000-0000-00001C010000}"/>
    <cellStyle name="Normal 4 2 2 2 4" xfId="317" xr:uid="{00000000-0005-0000-0000-00001D010000}"/>
    <cellStyle name="Normal 4 2 2 3" xfId="93" xr:uid="{00000000-0005-0000-0000-00001E010000}"/>
    <cellStyle name="Normal 4 2 2 3 2" xfId="221" xr:uid="{00000000-0005-0000-0000-00001F010000}"/>
    <cellStyle name="Normal 4 2 2 3 2 2" xfId="477" xr:uid="{00000000-0005-0000-0000-000020010000}"/>
    <cellStyle name="Normal 4 2 2 3 3" xfId="349" xr:uid="{00000000-0005-0000-0000-000021010000}"/>
    <cellStyle name="Normal 4 2 2 4" xfId="157" xr:uid="{00000000-0005-0000-0000-000022010000}"/>
    <cellStyle name="Normal 4 2 2 4 2" xfId="413" xr:uid="{00000000-0005-0000-0000-000023010000}"/>
    <cellStyle name="Normal 4 2 2 5" xfId="285" xr:uid="{00000000-0005-0000-0000-000024010000}"/>
    <cellStyle name="Normal 4 2 3" xfId="45" xr:uid="{00000000-0005-0000-0000-000025010000}"/>
    <cellStyle name="Normal 4 2 3 2" xfId="109" xr:uid="{00000000-0005-0000-0000-000026010000}"/>
    <cellStyle name="Normal 4 2 3 2 2" xfId="237" xr:uid="{00000000-0005-0000-0000-000027010000}"/>
    <cellStyle name="Normal 4 2 3 2 2 2" xfId="493" xr:uid="{00000000-0005-0000-0000-000028010000}"/>
    <cellStyle name="Normal 4 2 3 2 3" xfId="365" xr:uid="{00000000-0005-0000-0000-000029010000}"/>
    <cellStyle name="Normal 4 2 3 3" xfId="173" xr:uid="{00000000-0005-0000-0000-00002A010000}"/>
    <cellStyle name="Normal 4 2 3 3 2" xfId="429" xr:uid="{00000000-0005-0000-0000-00002B010000}"/>
    <cellStyle name="Normal 4 2 3 4" xfId="301" xr:uid="{00000000-0005-0000-0000-00002C010000}"/>
    <cellStyle name="Normal 4 2 4" xfId="77" xr:uid="{00000000-0005-0000-0000-00002D010000}"/>
    <cellStyle name="Normal 4 2 4 2" xfId="205" xr:uid="{00000000-0005-0000-0000-00002E010000}"/>
    <cellStyle name="Normal 4 2 4 2 2" xfId="461" xr:uid="{00000000-0005-0000-0000-00002F010000}"/>
    <cellStyle name="Normal 4 2 4 3" xfId="333" xr:uid="{00000000-0005-0000-0000-000030010000}"/>
    <cellStyle name="Normal 4 2 5" xfId="141" xr:uid="{00000000-0005-0000-0000-000031010000}"/>
    <cellStyle name="Normal 4 2 5 2" xfId="397" xr:uid="{00000000-0005-0000-0000-000032010000}"/>
    <cellStyle name="Normal 4 2 6" xfId="269" xr:uid="{00000000-0005-0000-0000-000033010000}"/>
    <cellStyle name="Normal 4 3" xfId="21" xr:uid="{00000000-0005-0000-0000-000034010000}"/>
    <cellStyle name="Normal 4 3 2" xfId="53" xr:uid="{00000000-0005-0000-0000-000035010000}"/>
    <cellStyle name="Normal 4 3 2 2" xfId="117" xr:uid="{00000000-0005-0000-0000-000036010000}"/>
    <cellStyle name="Normal 4 3 2 2 2" xfId="245" xr:uid="{00000000-0005-0000-0000-000037010000}"/>
    <cellStyle name="Normal 4 3 2 2 2 2" xfId="501" xr:uid="{00000000-0005-0000-0000-000038010000}"/>
    <cellStyle name="Normal 4 3 2 2 3" xfId="373" xr:uid="{00000000-0005-0000-0000-000039010000}"/>
    <cellStyle name="Normal 4 3 2 3" xfId="181" xr:uid="{00000000-0005-0000-0000-00003A010000}"/>
    <cellStyle name="Normal 4 3 2 3 2" xfId="437" xr:uid="{00000000-0005-0000-0000-00003B010000}"/>
    <cellStyle name="Normal 4 3 2 4" xfId="309" xr:uid="{00000000-0005-0000-0000-00003C010000}"/>
    <cellStyle name="Normal 4 3 3" xfId="85" xr:uid="{00000000-0005-0000-0000-00003D010000}"/>
    <cellStyle name="Normal 4 3 3 2" xfId="213" xr:uid="{00000000-0005-0000-0000-00003E010000}"/>
    <cellStyle name="Normal 4 3 3 2 2" xfId="469" xr:uid="{00000000-0005-0000-0000-00003F010000}"/>
    <cellStyle name="Normal 4 3 3 3" xfId="341" xr:uid="{00000000-0005-0000-0000-000040010000}"/>
    <cellStyle name="Normal 4 3 4" xfId="149" xr:uid="{00000000-0005-0000-0000-000041010000}"/>
    <cellStyle name="Normal 4 3 4 2" xfId="405" xr:uid="{00000000-0005-0000-0000-000042010000}"/>
    <cellStyle name="Normal 4 3 5" xfId="277" xr:uid="{00000000-0005-0000-0000-000043010000}"/>
    <cellStyle name="Normal 4 4" xfId="37" xr:uid="{00000000-0005-0000-0000-000044010000}"/>
    <cellStyle name="Normal 4 4 2" xfId="101" xr:uid="{00000000-0005-0000-0000-000045010000}"/>
    <cellStyle name="Normal 4 4 2 2" xfId="229" xr:uid="{00000000-0005-0000-0000-000046010000}"/>
    <cellStyle name="Normal 4 4 2 2 2" xfId="485" xr:uid="{00000000-0005-0000-0000-000047010000}"/>
    <cellStyle name="Normal 4 4 2 3" xfId="357" xr:uid="{00000000-0005-0000-0000-000048010000}"/>
    <cellStyle name="Normal 4 4 3" xfId="165" xr:uid="{00000000-0005-0000-0000-000049010000}"/>
    <cellStyle name="Normal 4 4 3 2" xfId="421" xr:uid="{00000000-0005-0000-0000-00004A010000}"/>
    <cellStyle name="Normal 4 4 4" xfId="293" xr:uid="{00000000-0005-0000-0000-00004B010000}"/>
    <cellStyle name="Normal 4 5" xfId="69" xr:uid="{00000000-0005-0000-0000-00004C010000}"/>
    <cellStyle name="Normal 4 5 2" xfId="197" xr:uid="{00000000-0005-0000-0000-00004D010000}"/>
    <cellStyle name="Normal 4 5 2 2" xfId="453" xr:uid="{00000000-0005-0000-0000-00004E010000}"/>
    <cellStyle name="Normal 4 5 3" xfId="325" xr:uid="{00000000-0005-0000-0000-00004F010000}"/>
    <cellStyle name="Normal 4 6" xfId="133" xr:uid="{00000000-0005-0000-0000-000050010000}"/>
    <cellStyle name="Normal 4 6 2" xfId="389" xr:uid="{00000000-0005-0000-0000-000051010000}"/>
    <cellStyle name="Normal 4 7" xfId="261" xr:uid="{00000000-0005-0000-0000-000052010000}"/>
    <cellStyle name="Normal 5" xfId="7" xr:uid="{00000000-0005-0000-0000-000053010000}"/>
    <cellStyle name="Normal 5 2" xfId="15" xr:uid="{00000000-0005-0000-0000-000054010000}"/>
    <cellStyle name="Normal 5 2 2" xfId="31" xr:uid="{00000000-0005-0000-0000-000055010000}"/>
    <cellStyle name="Normal 5 2 2 2" xfId="63" xr:uid="{00000000-0005-0000-0000-000056010000}"/>
    <cellStyle name="Normal 5 2 2 2 2" xfId="127" xr:uid="{00000000-0005-0000-0000-000057010000}"/>
    <cellStyle name="Normal 5 2 2 2 2 2" xfId="255" xr:uid="{00000000-0005-0000-0000-000058010000}"/>
    <cellStyle name="Normal 5 2 2 2 2 2 2" xfId="511" xr:uid="{00000000-0005-0000-0000-000059010000}"/>
    <cellStyle name="Normal 5 2 2 2 2 3" xfId="383" xr:uid="{00000000-0005-0000-0000-00005A010000}"/>
    <cellStyle name="Normal 5 2 2 2 3" xfId="191" xr:uid="{00000000-0005-0000-0000-00005B010000}"/>
    <cellStyle name="Normal 5 2 2 2 3 2" xfId="447" xr:uid="{00000000-0005-0000-0000-00005C010000}"/>
    <cellStyle name="Normal 5 2 2 2 4" xfId="319" xr:uid="{00000000-0005-0000-0000-00005D010000}"/>
    <cellStyle name="Normal 5 2 2 3" xfId="95" xr:uid="{00000000-0005-0000-0000-00005E010000}"/>
    <cellStyle name="Normal 5 2 2 3 2" xfId="223" xr:uid="{00000000-0005-0000-0000-00005F010000}"/>
    <cellStyle name="Normal 5 2 2 3 2 2" xfId="479" xr:uid="{00000000-0005-0000-0000-000060010000}"/>
    <cellStyle name="Normal 5 2 2 3 3" xfId="351" xr:uid="{00000000-0005-0000-0000-000061010000}"/>
    <cellStyle name="Normal 5 2 2 4" xfId="159" xr:uid="{00000000-0005-0000-0000-000062010000}"/>
    <cellStyle name="Normal 5 2 2 4 2" xfId="415" xr:uid="{00000000-0005-0000-0000-000063010000}"/>
    <cellStyle name="Normal 5 2 2 5" xfId="287" xr:uid="{00000000-0005-0000-0000-000064010000}"/>
    <cellStyle name="Normal 5 2 3" xfId="47" xr:uid="{00000000-0005-0000-0000-000065010000}"/>
    <cellStyle name="Normal 5 2 3 2" xfId="111" xr:uid="{00000000-0005-0000-0000-000066010000}"/>
    <cellStyle name="Normal 5 2 3 2 2" xfId="239" xr:uid="{00000000-0005-0000-0000-000067010000}"/>
    <cellStyle name="Normal 5 2 3 2 2 2" xfId="495" xr:uid="{00000000-0005-0000-0000-000068010000}"/>
    <cellStyle name="Normal 5 2 3 2 3" xfId="367" xr:uid="{00000000-0005-0000-0000-000069010000}"/>
    <cellStyle name="Normal 5 2 3 3" xfId="175" xr:uid="{00000000-0005-0000-0000-00006A010000}"/>
    <cellStyle name="Normal 5 2 3 3 2" xfId="431" xr:uid="{00000000-0005-0000-0000-00006B010000}"/>
    <cellStyle name="Normal 5 2 3 4" xfId="303" xr:uid="{00000000-0005-0000-0000-00006C010000}"/>
    <cellStyle name="Normal 5 2 4" xfId="79" xr:uid="{00000000-0005-0000-0000-00006D010000}"/>
    <cellStyle name="Normal 5 2 4 2" xfId="207" xr:uid="{00000000-0005-0000-0000-00006E010000}"/>
    <cellStyle name="Normal 5 2 4 2 2" xfId="463" xr:uid="{00000000-0005-0000-0000-00006F010000}"/>
    <cellStyle name="Normal 5 2 4 3" xfId="335" xr:uid="{00000000-0005-0000-0000-000070010000}"/>
    <cellStyle name="Normal 5 2 5" xfId="143" xr:uid="{00000000-0005-0000-0000-000071010000}"/>
    <cellStyle name="Normal 5 2 5 2" xfId="399" xr:uid="{00000000-0005-0000-0000-000072010000}"/>
    <cellStyle name="Normal 5 2 6" xfId="271" xr:uid="{00000000-0005-0000-0000-000073010000}"/>
    <cellStyle name="Normal 5 3" xfId="23" xr:uid="{00000000-0005-0000-0000-000074010000}"/>
    <cellStyle name="Normal 5 3 2" xfId="55" xr:uid="{00000000-0005-0000-0000-000075010000}"/>
    <cellStyle name="Normal 5 3 2 2" xfId="119" xr:uid="{00000000-0005-0000-0000-000076010000}"/>
    <cellStyle name="Normal 5 3 2 2 2" xfId="247" xr:uid="{00000000-0005-0000-0000-000077010000}"/>
    <cellStyle name="Normal 5 3 2 2 2 2" xfId="503" xr:uid="{00000000-0005-0000-0000-000078010000}"/>
    <cellStyle name="Normal 5 3 2 2 3" xfId="375" xr:uid="{00000000-0005-0000-0000-000079010000}"/>
    <cellStyle name="Normal 5 3 2 3" xfId="183" xr:uid="{00000000-0005-0000-0000-00007A010000}"/>
    <cellStyle name="Normal 5 3 2 3 2" xfId="439" xr:uid="{00000000-0005-0000-0000-00007B010000}"/>
    <cellStyle name="Normal 5 3 2 4" xfId="311" xr:uid="{00000000-0005-0000-0000-00007C010000}"/>
    <cellStyle name="Normal 5 3 3" xfId="87" xr:uid="{00000000-0005-0000-0000-00007D010000}"/>
    <cellStyle name="Normal 5 3 3 2" xfId="215" xr:uid="{00000000-0005-0000-0000-00007E010000}"/>
    <cellStyle name="Normal 5 3 3 2 2" xfId="471" xr:uid="{00000000-0005-0000-0000-00007F010000}"/>
    <cellStyle name="Normal 5 3 3 3" xfId="343" xr:uid="{00000000-0005-0000-0000-000080010000}"/>
    <cellStyle name="Normal 5 3 4" xfId="151" xr:uid="{00000000-0005-0000-0000-000081010000}"/>
    <cellStyle name="Normal 5 3 4 2" xfId="407" xr:uid="{00000000-0005-0000-0000-000082010000}"/>
    <cellStyle name="Normal 5 3 5" xfId="279" xr:uid="{00000000-0005-0000-0000-000083010000}"/>
    <cellStyle name="Normal 5 4" xfId="39" xr:uid="{00000000-0005-0000-0000-000084010000}"/>
    <cellStyle name="Normal 5 4 2" xfId="103" xr:uid="{00000000-0005-0000-0000-000085010000}"/>
    <cellStyle name="Normal 5 4 2 2" xfId="231" xr:uid="{00000000-0005-0000-0000-000086010000}"/>
    <cellStyle name="Normal 5 4 2 2 2" xfId="487" xr:uid="{00000000-0005-0000-0000-000087010000}"/>
    <cellStyle name="Normal 5 4 2 3" xfId="359" xr:uid="{00000000-0005-0000-0000-000088010000}"/>
    <cellStyle name="Normal 5 4 3" xfId="167" xr:uid="{00000000-0005-0000-0000-000089010000}"/>
    <cellStyle name="Normal 5 4 3 2" xfId="423" xr:uid="{00000000-0005-0000-0000-00008A010000}"/>
    <cellStyle name="Normal 5 4 4" xfId="295" xr:uid="{00000000-0005-0000-0000-00008B010000}"/>
    <cellStyle name="Normal 5 5" xfId="71" xr:uid="{00000000-0005-0000-0000-00008C010000}"/>
    <cellStyle name="Normal 5 5 2" xfId="199" xr:uid="{00000000-0005-0000-0000-00008D010000}"/>
    <cellStyle name="Normal 5 5 2 2" xfId="455" xr:uid="{00000000-0005-0000-0000-00008E010000}"/>
    <cellStyle name="Normal 5 5 3" xfId="327" xr:uid="{00000000-0005-0000-0000-00008F010000}"/>
    <cellStyle name="Normal 5 6" xfId="135" xr:uid="{00000000-0005-0000-0000-000090010000}"/>
    <cellStyle name="Normal 5 6 2" xfId="391" xr:uid="{00000000-0005-0000-0000-000091010000}"/>
    <cellStyle name="Normal 5 7" xfId="263" xr:uid="{00000000-0005-0000-0000-000092010000}"/>
    <cellStyle name="Normal 6" xfId="9" xr:uid="{00000000-0005-0000-0000-000093010000}"/>
    <cellStyle name="Normal 6 2" xfId="17" xr:uid="{00000000-0005-0000-0000-000094010000}"/>
    <cellStyle name="Normal 6 2 2" xfId="33" xr:uid="{00000000-0005-0000-0000-000095010000}"/>
    <cellStyle name="Normal 6 2 2 2" xfId="65" xr:uid="{00000000-0005-0000-0000-000096010000}"/>
    <cellStyle name="Normal 6 2 2 2 2" xfId="129" xr:uid="{00000000-0005-0000-0000-000097010000}"/>
    <cellStyle name="Normal 6 2 2 2 2 2" xfId="257" xr:uid="{00000000-0005-0000-0000-000098010000}"/>
    <cellStyle name="Normal 6 2 2 2 2 2 2" xfId="513" xr:uid="{00000000-0005-0000-0000-000099010000}"/>
    <cellStyle name="Normal 6 2 2 2 2 3" xfId="385" xr:uid="{00000000-0005-0000-0000-00009A010000}"/>
    <cellStyle name="Normal 6 2 2 2 3" xfId="193" xr:uid="{00000000-0005-0000-0000-00009B010000}"/>
    <cellStyle name="Normal 6 2 2 2 3 2" xfId="449" xr:uid="{00000000-0005-0000-0000-00009C010000}"/>
    <cellStyle name="Normal 6 2 2 2 4" xfId="321" xr:uid="{00000000-0005-0000-0000-00009D010000}"/>
    <cellStyle name="Normal 6 2 2 3" xfId="97" xr:uid="{00000000-0005-0000-0000-00009E010000}"/>
    <cellStyle name="Normal 6 2 2 3 2" xfId="225" xr:uid="{00000000-0005-0000-0000-00009F010000}"/>
    <cellStyle name="Normal 6 2 2 3 2 2" xfId="481" xr:uid="{00000000-0005-0000-0000-0000A0010000}"/>
    <cellStyle name="Normal 6 2 2 3 3" xfId="353" xr:uid="{00000000-0005-0000-0000-0000A1010000}"/>
    <cellStyle name="Normal 6 2 2 4" xfId="161" xr:uid="{00000000-0005-0000-0000-0000A2010000}"/>
    <cellStyle name="Normal 6 2 2 4 2" xfId="417" xr:uid="{00000000-0005-0000-0000-0000A3010000}"/>
    <cellStyle name="Normal 6 2 2 5" xfId="289" xr:uid="{00000000-0005-0000-0000-0000A4010000}"/>
    <cellStyle name="Normal 6 2 3" xfId="49" xr:uid="{00000000-0005-0000-0000-0000A5010000}"/>
    <cellStyle name="Normal 6 2 3 2" xfId="113" xr:uid="{00000000-0005-0000-0000-0000A6010000}"/>
    <cellStyle name="Normal 6 2 3 2 2" xfId="241" xr:uid="{00000000-0005-0000-0000-0000A7010000}"/>
    <cellStyle name="Normal 6 2 3 2 2 2" xfId="497" xr:uid="{00000000-0005-0000-0000-0000A8010000}"/>
    <cellStyle name="Normal 6 2 3 2 3" xfId="369" xr:uid="{00000000-0005-0000-0000-0000A9010000}"/>
    <cellStyle name="Normal 6 2 3 3" xfId="177" xr:uid="{00000000-0005-0000-0000-0000AA010000}"/>
    <cellStyle name="Normal 6 2 3 3 2" xfId="433" xr:uid="{00000000-0005-0000-0000-0000AB010000}"/>
    <cellStyle name="Normal 6 2 3 4" xfId="305" xr:uid="{00000000-0005-0000-0000-0000AC010000}"/>
    <cellStyle name="Normal 6 2 4" xfId="81" xr:uid="{00000000-0005-0000-0000-0000AD010000}"/>
    <cellStyle name="Normal 6 2 4 2" xfId="209" xr:uid="{00000000-0005-0000-0000-0000AE010000}"/>
    <cellStyle name="Normal 6 2 4 2 2" xfId="465" xr:uid="{00000000-0005-0000-0000-0000AF010000}"/>
    <cellStyle name="Normal 6 2 4 3" xfId="337" xr:uid="{00000000-0005-0000-0000-0000B0010000}"/>
    <cellStyle name="Normal 6 2 5" xfId="145" xr:uid="{00000000-0005-0000-0000-0000B1010000}"/>
    <cellStyle name="Normal 6 2 5 2" xfId="401" xr:uid="{00000000-0005-0000-0000-0000B2010000}"/>
    <cellStyle name="Normal 6 2 6" xfId="273" xr:uid="{00000000-0005-0000-0000-0000B3010000}"/>
    <cellStyle name="Normal 6 3" xfId="25" xr:uid="{00000000-0005-0000-0000-0000B4010000}"/>
    <cellStyle name="Normal 6 3 2" xfId="57" xr:uid="{00000000-0005-0000-0000-0000B5010000}"/>
    <cellStyle name="Normal 6 3 2 2" xfId="121" xr:uid="{00000000-0005-0000-0000-0000B6010000}"/>
    <cellStyle name="Normal 6 3 2 2 2" xfId="249" xr:uid="{00000000-0005-0000-0000-0000B7010000}"/>
    <cellStyle name="Normal 6 3 2 2 2 2" xfId="505" xr:uid="{00000000-0005-0000-0000-0000B8010000}"/>
    <cellStyle name="Normal 6 3 2 2 3" xfId="377" xr:uid="{00000000-0005-0000-0000-0000B9010000}"/>
    <cellStyle name="Normal 6 3 2 3" xfId="185" xr:uid="{00000000-0005-0000-0000-0000BA010000}"/>
    <cellStyle name="Normal 6 3 2 3 2" xfId="441" xr:uid="{00000000-0005-0000-0000-0000BB010000}"/>
    <cellStyle name="Normal 6 3 2 4" xfId="313" xr:uid="{00000000-0005-0000-0000-0000BC010000}"/>
    <cellStyle name="Normal 6 3 3" xfId="89" xr:uid="{00000000-0005-0000-0000-0000BD010000}"/>
    <cellStyle name="Normal 6 3 3 2" xfId="217" xr:uid="{00000000-0005-0000-0000-0000BE010000}"/>
    <cellStyle name="Normal 6 3 3 2 2" xfId="473" xr:uid="{00000000-0005-0000-0000-0000BF010000}"/>
    <cellStyle name="Normal 6 3 3 3" xfId="345" xr:uid="{00000000-0005-0000-0000-0000C0010000}"/>
    <cellStyle name="Normal 6 3 4" xfId="153" xr:uid="{00000000-0005-0000-0000-0000C1010000}"/>
    <cellStyle name="Normal 6 3 4 2" xfId="409" xr:uid="{00000000-0005-0000-0000-0000C2010000}"/>
    <cellStyle name="Normal 6 3 5" xfId="281" xr:uid="{00000000-0005-0000-0000-0000C3010000}"/>
    <cellStyle name="Normal 6 4" xfId="41" xr:uid="{00000000-0005-0000-0000-0000C4010000}"/>
    <cellStyle name="Normal 6 4 2" xfId="105" xr:uid="{00000000-0005-0000-0000-0000C5010000}"/>
    <cellStyle name="Normal 6 4 2 2" xfId="233" xr:uid="{00000000-0005-0000-0000-0000C6010000}"/>
    <cellStyle name="Normal 6 4 2 2 2" xfId="489" xr:uid="{00000000-0005-0000-0000-0000C7010000}"/>
    <cellStyle name="Normal 6 4 2 3" xfId="361" xr:uid="{00000000-0005-0000-0000-0000C8010000}"/>
    <cellStyle name="Normal 6 4 3" xfId="169" xr:uid="{00000000-0005-0000-0000-0000C9010000}"/>
    <cellStyle name="Normal 6 4 3 2" xfId="425" xr:uid="{00000000-0005-0000-0000-0000CA010000}"/>
    <cellStyle name="Normal 6 4 4" xfId="297" xr:uid="{00000000-0005-0000-0000-0000CB010000}"/>
    <cellStyle name="Normal 6 5" xfId="73" xr:uid="{00000000-0005-0000-0000-0000CC010000}"/>
    <cellStyle name="Normal 6 5 2" xfId="201" xr:uid="{00000000-0005-0000-0000-0000CD010000}"/>
    <cellStyle name="Normal 6 5 2 2" xfId="457" xr:uid="{00000000-0005-0000-0000-0000CE010000}"/>
    <cellStyle name="Normal 6 5 3" xfId="329" xr:uid="{00000000-0005-0000-0000-0000CF010000}"/>
    <cellStyle name="Normal 6 6" xfId="137" xr:uid="{00000000-0005-0000-0000-0000D0010000}"/>
    <cellStyle name="Normal 6 6 2" xfId="393" xr:uid="{00000000-0005-0000-0000-0000D1010000}"/>
    <cellStyle name="Normal 6 7" xfId="265" xr:uid="{00000000-0005-0000-0000-0000D2010000}"/>
    <cellStyle name="Normal 7" xfId="3" xr:uid="{00000000-0005-0000-0000-0000D3010000}"/>
    <cellStyle name="Normal 7 2" xfId="515" xr:uid="{00000000-0005-0000-0000-0000D4010000}"/>
    <cellStyle name="Normal 8" xfId="11" xr:uid="{00000000-0005-0000-0000-0000D5010000}"/>
    <cellStyle name="Normal 8 2" xfId="27" xr:uid="{00000000-0005-0000-0000-0000D6010000}"/>
    <cellStyle name="Normal 8 2 2" xfId="59" xr:uid="{00000000-0005-0000-0000-0000D7010000}"/>
    <cellStyle name="Normal 8 2 2 2" xfId="123" xr:uid="{00000000-0005-0000-0000-0000D8010000}"/>
    <cellStyle name="Normal 8 2 2 2 2" xfId="251" xr:uid="{00000000-0005-0000-0000-0000D9010000}"/>
    <cellStyle name="Normal 8 2 2 2 2 2" xfId="507" xr:uid="{00000000-0005-0000-0000-0000DA010000}"/>
    <cellStyle name="Normal 8 2 2 2 3" xfId="379" xr:uid="{00000000-0005-0000-0000-0000DB010000}"/>
    <cellStyle name="Normal 8 2 2 3" xfId="187" xr:uid="{00000000-0005-0000-0000-0000DC010000}"/>
    <cellStyle name="Normal 8 2 2 3 2" xfId="443" xr:uid="{00000000-0005-0000-0000-0000DD010000}"/>
    <cellStyle name="Normal 8 2 2 4" xfId="315" xr:uid="{00000000-0005-0000-0000-0000DE010000}"/>
    <cellStyle name="Normal 8 2 3" xfId="91" xr:uid="{00000000-0005-0000-0000-0000DF010000}"/>
    <cellStyle name="Normal 8 2 3 2" xfId="219" xr:uid="{00000000-0005-0000-0000-0000E0010000}"/>
    <cellStyle name="Normal 8 2 3 2 2" xfId="475" xr:uid="{00000000-0005-0000-0000-0000E1010000}"/>
    <cellStyle name="Normal 8 2 3 3" xfId="347" xr:uid="{00000000-0005-0000-0000-0000E2010000}"/>
    <cellStyle name="Normal 8 2 4" xfId="155" xr:uid="{00000000-0005-0000-0000-0000E3010000}"/>
    <cellStyle name="Normal 8 2 4 2" xfId="411" xr:uid="{00000000-0005-0000-0000-0000E4010000}"/>
    <cellStyle name="Normal 8 2 5" xfId="283" xr:uid="{00000000-0005-0000-0000-0000E5010000}"/>
    <cellStyle name="Normal 8 3" xfId="43" xr:uid="{00000000-0005-0000-0000-0000E6010000}"/>
    <cellStyle name="Normal 8 3 2" xfId="107" xr:uid="{00000000-0005-0000-0000-0000E7010000}"/>
    <cellStyle name="Normal 8 3 2 2" xfId="235" xr:uid="{00000000-0005-0000-0000-0000E8010000}"/>
    <cellStyle name="Normal 8 3 2 2 2" xfId="491" xr:uid="{00000000-0005-0000-0000-0000E9010000}"/>
    <cellStyle name="Normal 8 3 2 3" xfId="363" xr:uid="{00000000-0005-0000-0000-0000EA010000}"/>
    <cellStyle name="Normal 8 3 3" xfId="171" xr:uid="{00000000-0005-0000-0000-0000EB010000}"/>
    <cellStyle name="Normal 8 3 3 2" xfId="427" xr:uid="{00000000-0005-0000-0000-0000EC010000}"/>
    <cellStyle name="Normal 8 3 4" xfId="299" xr:uid="{00000000-0005-0000-0000-0000ED010000}"/>
    <cellStyle name="Normal 8 4" xfId="75" xr:uid="{00000000-0005-0000-0000-0000EE010000}"/>
    <cellStyle name="Normal 8 4 2" xfId="203" xr:uid="{00000000-0005-0000-0000-0000EF010000}"/>
    <cellStyle name="Normal 8 4 2 2" xfId="459" xr:uid="{00000000-0005-0000-0000-0000F0010000}"/>
    <cellStyle name="Normal 8 4 3" xfId="331" xr:uid="{00000000-0005-0000-0000-0000F1010000}"/>
    <cellStyle name="Normal 8 5" xfId="139" xr:uid="{00000000-0005-0000-0000-0000F2010000}"/>
    <cellStyle name="Normal 8 5 2" xfId="395" xr:uid="{00000000-0005-0000-0000-0000F3010000}"/>
    <cellStyle name="Normal 8 6" xfId="267" xr:uid="{00000000-0005-0000-0000-0000F4010000}"/>
    <cellStyle name="Normal 9" xfId="19" xr:uid="{00000000-0005-0000-0000-0000F5010000}"/>
    <cellStyle name="Normal 9 2" xfId="51" xr:uid="{00000000-0005-0000-0000-0000F6010000}"/>
    <cellStyle name="Normal 9 2 2" xfId="115" xr:uid="{00000000-0005-0000-0000-0000F7010000}"/>
    <cellStyle name="Normal 9 2 2 2" xfId="243" xr:uid="{00000000-0005-0000-0000-0000F8010000}"/>
    <cellStyle name="Normal 9 2 2 2 2" xfId="499" xr:uid="{00000000-0005-0000-0000-0000F9010000}"/>
    <cellStyle name="Normal 9 2 2 3" xfId="371" xr:uid="{00000000-0005-0000-0000-0000FA010000}"/>
    <cellStyle name="Normal 9 2 3" xfId="179" xr:uid="{00000000-0005-0000-0000-0000FB010000}"/>
    <cellStyle name="Normal 9 2 3 2" xfId="435" xr:uid="{00000000-0005-0000-0000-0000FC010000}"/>
    <cellStyle name="Normal 9 2 4" xfId="307" xr:uid="{00000000-0005-0000-0000-0000FD010000}"/>
    <cellStyle name="Normal 9 3" xfId="83" xr:uid="{00000000-0005-0000-0000-0000FE010000}"/>
    <cellStyle name="Normal 9 3 2" xfId="211" xr:uid="{00000000-0005-0000-0000-0000FF010000}"/>
    <cellStyle name="Normal 9 3 2 2" xfId="467" xr:uid="{00000000-0005-0000-0000-000000020000}"/>
    <cellStyle name="Normal 9 3 3" xfId="339" xr:uid="{00000000-0005-0000-0000-000001020000}"/>
    <cellStyle name="Normal 9 4" xfId="147" xr:uid="{00000000-0005-0000-0000-000002020000}"/>
    <cellStyle name="Normal 9 4 2" xfId="403" xr:uid="{00000000-0005-0000-0000-000003020000}"/>
    <cellStyle name="Normal 9 5" xfId="275" xr:uid="{00000000-0005-0000-0000-000004020000}"/>
    <cellStyle name="Percent" xfId="518" builtinId="5"/>
  </cellStyles>
  <dxfs count="0"/>
  <tableStyles count="1" defaultTableStyle="TableStyleMedium2" defaultPivotStyle="PivotStyleLight16">
    <tableStyle name="Invisible" pivot="0" table="0" count="0" xr9:uid="{931429F2-A0A9-4032-89B2-8D259D2535E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A6367-091E-CB4C-A403-3941365708B2}">
  <dimension ref="A1:D703"/>
  <sheetViews>
    <sheetView zoomScale="117" zoomScaleNormal="100" workbookViewId="0">
      <selection activeCell="B8" sqref="B8"/>
    </sheetView>
  </sheetViews>
  <sheetFormatPr baseColWidth="10" defaultColWidth="11.5" defaultRowHeight="15" x14ac:dyDescent="0.2"/>
  <cols>
    <col min="2" max="2" width="15.1640625" customWidth="1"/>
    <col min="3" max="3" width="11.5" style="24"/>
  </cols>
  <sheetData>
    <row r="1" spans="1:4" ht="16" thickBot="1" x14ac:dyDescent="0.25">
      <c r="A1" s="52" t="s">
        <v>0</v>
      </c>
      <c r="B1" s="52"/>
      <c r="C1" s="52"/>
      <c r="D1" s="52"/>
    </row>
    <row r="2" spans="1:4" ht="65" thickBot="1" x14ac:dyDescent="0.25">
      <c r="A2" s="12" t="s">
        <v>1</v>
      </c>
      <c r="B2" s="26" t="s">
        <v>49</v>
      </c>
      <c r="C2" s="33" t="s">
        <v>47</v>
      </c>
      <c r="D2" s="35" t="s">
        <v>50</v>
      </c>
    </row>
    <row r="3" spans="1:4" x14ac:dyDescent="0.2">
      <c r="A3" s="28">
        <v>39814</v>
      </c>
      <c r="B3" s="29">
        <v>1</v>
      </c>
      <c r="C3" s="30">
        <v>0.53739999999999999</v>
      </c>
      <c r="D3" s="34">
        <f>B3*C3</f>
        <v>0.53739999999999999</v>
      </c>
    </row>
    <row r="4" spans="1:4" x14ac:dyDescent="0.2">
      <c r="A4" s="3">
        <v>39815</v>
      </c>
      <c r="B4" s="1">
        <v>4</v>
      </c>
      <c r="C4" s="22">
        <v>1.1978</v>
      </c>
      <c r="D4" s="32">
        <f t="shared" ref="D4:D67" si="0">B4*C4</f>
        <v>4.7911999999999999</v>
      </c>
    </row>
    <row r="5" spans="1:4" x14ac:dyDescent="0.2">
      <c r="A5" s="3">
        <v>39816</v>
      </c>
      <c r="B5" s="1">
        <v>5</v>
      </c>
      <c r="C5" s="22">
        <v>0.4269</v>
      </c>
      <c r="D5" s="32">
        <f t="shared" si="0"/>
        <v>2.1345000000000001</v>
      </c>
    </row>
    <row r="6" spans="1:4" x14ac:dyDescent="0.2">
      <c r="A6" s="3">
        <v>39817</v>
      </c>
      <c r="B6" s="1">
        <v>6</v>
      </c>
      <c r="C6" s="22">
        <v>1.0813999999999999</v>
      </c>
      <c r="D6" s="32">
        <f t="shared" si="0"/>
        <v>6.4883999999999995</v>
      </c>
    </row>
    <row r="7" spans="1:4" x14ac:dyDescent="0.2">
      <c r="A7" s="3">
        <v>39818</v>
      </c>
      <c r="B7" s="1">
        <v>7</v>
      </c>
      <c r="C7" s="22">
        <v>1.2104999999999999</v>
      </c>
      <c r="D7" s="32">
        <f t="shared" si="0"/>
        <v>8.4734999999999996</v>
      </c>
    </row>
    <row r="8" spans="1:4" x14ac:dyDescent="0.2">
      <c r="A8" s="3">
        <v>39819</v>
      </c>
      <c r="B8" s="1">
        <v>3</v>
      </c>
      <c r="C8" s="22">
        <v>0.23630000000000001</v>
      </c>
      <c r="D8" s="32">
        <f t="shared" si="0"/>
        <v>0.70890000000000009</v>
      </c>
    </row>
    <row r="9" spans="1:4" x14ac:dyDescent="0.2">
      <c r="A9" s="3">
        <v>39820</v>
      </c>
      <c r="B9" s="1">
        <v>1</v>
      </c>
      <c r="C9" s="22">
        <v>0.2737</v>
      </c>
      <c r="D9" s="32">
        <f t="shared" si="0"/>
        <v>0.2737</v>
      </c>
    </row>
    <row r="10" spans="1:4" x14ac:dyDescent="0.2">
      <c r="A10" s="3">
        <v>39821</v>
      </c>
      <c r="B10" s="1">
        <v>8</v>
      </c>
      <c r="C10" s="22">
        <v>12.4245</v>
      </c>
      <c r="D10" s="32">
        <f t="shared" si="0"/>
        <v>99.396000000000001</v>
      </c>
    </row>
    <row r="11" spans="1:4" x14ac:dyDescent="0.2">
      <c r="A11" s="3">
        <v>39822</v>
      </c>
      <c r="B11" s="1">
        <v>1</v>
      </c>
      <c r="C11" s="22">
        <v>2.3868999999999998</v>
      </c>
      <c r="D11" s="32">
        <f t="shared" si="0"/>
        <v>2.3868999999999998</v>
      </c>
    </row>
    <row r="12" spans="1:4" x14ac:dyDescent="0.2">
      <c r="A12" s="3">
        <v>39823</v>
      </c>
      <c r="B12" s="1">
        <v>7</v>
      </c>
      <c r="C12" s="22">
        <v>0.30980000000000002</v>
      </c>
      <c r="D12" s="32">
        <f t="shared" si="0"/>
        <v>2.1686000000000001</v>
      </c>
    </row>
    <row r="13" spans="1:4" x14ac:dyDescent="0.2">
      <c r="A13" s="3">
        <v>39824</v>
      </c>
      <c r="B13" s="1">
        <v>6</v>
      </c>
      <c r="C13" s="22">
        <v>2.3096000000000001</v>
      </c>
      <c r="D13" s="32">
        <f t="shared" si="0"/>
        <v>13.857600000000001</v>
      </c>
    </row>
    <row r="14" spans="1:4" x14ac:dyDescent="0.2">
      <c r="A14" s="3">
        <v>39825</v>
      </c>
      <c r="B14" s="1">
        <v>12</v>
      </c>
      <c r="C14" s="22">
        <v>1.7533000000000001</v>
      </c>
      <c r="D14" s="32">
        <f t="shared" si="0"/>
        <v>21.0396</v>
      </c>
    </row>
    <row r="15" spans="1:4" x14ac:dyDescent="0.2">
      <c r="A15" s="3">
        <v>39826</v>
      </c>
      <c r="B15" s="1">
        <v>4</v>
      </c>
      <c r="C15" s="22">
        <v>0.54790000000000005</v>
      </c>
      <c r="D15" s="32">
        <f t="shared" si="0"/>
        <v>2.1916000000000002</v>
      </c>
    </row>
    <row r="16" spans="1:4" x14ac:dyDescent="0.2">
      <c r="A16" s="3">
        <v>39827</v>
      </c>
      <c r="B16" s="1">
        <v>1</v>
      </c>
      <c r="C16" s="22">
        <v>0.58279999999999998</v>
      </c>
      <c r="D16" s="32">
        <f t="shared" si="0"/>
        <v>0.58279999999999998</v>
      </c>
    </row>
    <row r="17" spans="1:4" x14ac:dyDescent="0.2">
      <c r="A17" s="3">
        <v>39828</v>
      </c>
      <c r="B17" s="1">
        <v>1</v>
      </c>
      <c r="C17" s="22">
        <v>2.4373</v>
      </c>
      <c r="D17" s="32">
        <f t="shared" si="0"/>
        <v>2.4373</v>
      </c>
    </row>
    <row r="18" spans="1:4" x14ac:dyDescent="0.2">
      <c r="A18" s="3">
        <v>39829</v>
      </c>
      <c r="B18" s="1">
        <v>3</v>
      </c>
      <c r="C18" s="22">
        <v>0.43190000000000001</v>
      </c>
      <c r="D18" s="32">
        <f t="shared" si="0"/>
        <v>1.2957000000000001</v>
      </c>
    </row>
    <row r="19" spans="1:4" x14ac:dyDescent="0.2">
      <c r="A19" s="3">
        <v>39830</v>
      </c>
      <c r="B19" s="1">
        <v>9</v>
      </c>
      <c r="C19" s="22">
        <v>3.2730000000000001</v>
      </c>
      <c r="D19" s="32">
        <f t="shared" si="0"/>
        <v>29.457000000000001</v>
      </c>
    </row>
    <row r="20" spans="1:4" x14ac:dyDescent="0.2">
      <c r="A20" s="3">
        <v>39831</v>
      </c>
      <c r="B20" s="1">
        <v>6</v>
      </c>
      <c r="C20" s="22">
        <v>7.6694000000000004</v>
      </c>
      <c r="D20" s="32">
        <f t="shared" si="0"/>
        <v>46.016400000000004</v>
      </c>
    </row>
    <row r="21" spans="1:4" x14ac:dyDescent="0.2">
      <c r="A21" s="3">
        <v>39832</v>
      </c>
      <c r="B21" s="1">
        <v>9</v>
      </c>
      <c r="C21" s="22">
        <v>0.90890000000000004</v>
      </c>
      <c r="D21" s="32">
        <f t="shared" si="0"/>
        <v>8.1800999999999995</v>
      </c>
    </row>
    <row r="22" spans="1:4" x14ac:dyDescent="0.2">
      <c r="A22" s="3">
        <v>39833</v>
      </c>
      <c r="B22" s="1">
        <v>7</v>
      </c>
      <c r="C22" s="22">
        <v>2.7284000000000002</v>
      </c>
      <c r="D22" s="32">
        <f t="shared" si="0"/>
        <v>19.098800000000001</v>
      </c>
    </row>
    <row r="23" spans="1:4" x14ac:dyDescent="0.2">
      <c r="A23" s="3">
        <v>39834</v>
      </c>
      <c r="B23" s="1">
        <v>10</v>
      </c>
      <c r="C23" s="22">
        <v>1.4140999999999999</v>
      </c>
      <c r="D23" s="32">
        <f t="shared" si="0"/>
        <v>14.140999999999998</v>
      </c>
    </row>
    <row r="24" spans="1:4" x14ac:dyDescent="0.2">
      <c r="A24" s="3">
        <v>39835</v>
      </c>
      <c r="B24" s="1">
        <v>8</v>
      </c>
      <c r="C24" s="22">
        <v>0.71299999999999997</v>
      </c>
      <c r="D24" s="32">
        <f t="shared" si="0"/>
        <v>5.7039999999999997</v>
      </c>
    </row>
    <row r="25" spans="1:4" x14ac:dyDescent="0.2">
      <c r="A25" s="3">
        <v>39836</v>
      </c>
      <c r="B25" s="1">
        <v>1</v>
      </c>
      <c r="C25" s="22">
        <v>4.8091999999999997</v>
      </c>
      <c r="D25" s="32">
        <f t="shared" si="0"/>
        <v>4.8091999999999997</v>
      </c>
    </row>
    <row r="26" spans="1:4" x14ac:dyDescent="0.2">
      <c r="A26" s="3">
        <v>39837</v>
      </c>
      <c r="B26" s="1">
        <v>5</v>
      </c>
      <c r="C26" s="22">
        <v>1.3368</v>
      </c>
      <c r="D26" s="32">
        <f t="shared" si="0"/>
        <v>6.6840000000000002</v>
      </c>
    </row>
    <row r="27" spans="1:4" x14ac:dyDescent="0.2">
      <c r="A27" s="3">
        <v>39838</v>
      </c>
      <c r="B27" s="1">
        <v>4</v>
      </c>
      <c r="C27" s="22">
        <v>3.3130999999999999</v>
      </c>
      <c r="D27" s="32">
        <f t="shared" si="0"/>
        <v>13.2524</v>
      </c>
    </row>
    <row r="28" spans="1:4" x14ac:dyDescent="0.2">
      <c r="A28" s="3">
        <v>39839</v>
      </c>
      <c r="B28" s="1">
        <v>9</v>
      </c>
      <c r="C28" s="22">
        <v>1.1105</v>
      </c>
      <c r="D28" s="32">
        <f t="shared" si="0"/>
        <v>9.9945000000000004</v>
      </c>
    </row>
    <row r="29" spans="1:4" x14ac:dyDescent="0.2">
      <c r="A29" s="3">
        <v>39840</v>
      </c>
      <c r="B29" s="1">
        <v>5</v>
      </c>
      <c r="C29" s="22">
        <v>1.1462000000000001</v>
      </c>
      <c r="D29" s="32">
        <f t="shared" si="0"/>
        <v>5.7310000000000008</v>
      </c>
    </row>
    <row r="30" spans="1:4" x14ac:dyDescent="0.2">
      <c r="A30" s="3">
        <v>39841</v>
      </c>
      <c r="B30" s="1">
        <v>5</v>
      </c>
      <c r="C30" s="22">
        <v>0.82140000000000002</v>
      </c>
      <c r="D30" s="32">
        <f t="shared" si="0"/>
        <v>4.1070000000000002</v>
      </c>
    </row>
    <row r="31" spans="1:4" x14ac:dyDescent="0.2">
      <c r="A31" s="3">
        <v>39842</v>
      </c>
      <c r="B31" s="1">
        <v>4</v>
      </c>
      <c r="C31" s="22">
        <v>0.79179999999999995</v>
      </c>
      <c r="D31" s="32">
        <f t="shared" si="0"/>
        <v>3.1671999999999998</v>
      </c>
    </row>
    <row r="32" spans="1:4" x14ac:dyDescent="0.2">
      <c r="A32" s="3">
        <v>39843</v>
      </c>
      <c r="B32" s="1">
        <v>8</v>
      </c>
      <c r="C32" s="22">
        <v>0.39689999999999998</v>
      </c>
      <c r="D32" s="32">
        <f t="shared" si="0"/>
        <v>3.1751999999999998</v>
      </c>
    </row>
    <row r="33" spans="1:4" x14ac:dyDescent="0.2">
      <c r="A33" s="3">
        <v>39844</v>
      </c>
      <c r="B33" s="1">
        <v>6</v>
      </c>
      <c r="C33" s="22">
        <v>0.16539999999999999</v>
      </c>
      <c r="D33" s="32">
        <f t="shared" si="0"/>
        <v>0.99239999999999995</v>
      </c>
    </row>
    <row r="34" spans="1:4" x14ac:dyDescent="0.2">
      <c r="A34" s="3">
        <v>39845</v>
      </c>
      <c r="B34" s="1">
        <v>1</v>
      </c>
      <c r="C34" s="22">
        <v>0.80479999999999996</v>
      </c>
      <c r="D34" s="32">
        <f t="shared" si="0"/>
        <v>0.80479999999999996</v>
      </c>
    </row>
    <row r="35" spans="1:4" x14ac:dyDescent="0.2">
      <c r="A35" s="3">
        <v>39846</v>
      </c>
      <c r="B35" s="1">
        <v>4</v>
      </c>
      <c r="C35" s="22">
        <v>1.077</v>
      </c>
      <c r="D35" s="32">
        <f t="shared" si="0"/>
        <v>4.3079999999999998</v>
      </c>
    </row>
    <row r="36" spans="1:4" x14ac:dyDescent="0.2">
      <c r="A36" s="3">
        <v>39847</v>
      </c>
      <c r="B36" s="1">
        <v>8</v>
      </c>
      <c r="C36" s="22">
        <v>0.53049999999999997</v>
      </c>
      <c r="D36" s="32">
        <f t="shared" si="0"/>
        <v>4.2439999999999998</v>
      </c>
    </row>
    <row r="37" spans="1:4" x14ac:dyDescent="0.2">
      <c r="A37" s="3">
        <v>39848</v>
      </c>
      <c r="B37" s="1">
        <v>1</v>
      </c>
      <c r="C37" s="22">
        <v>2.1139999999999999</v>
      </c>
      <c r="D37" s="32">
        <f t="shared" si="0"/>
        <v>2.1139999999999999</v>
      </c>
    </row>
    <row r="38" spans="1:4" x14ac:dyDescent="0.2">
      <c r="A38" s="3">
        <v>39849</v>
      </c>
      <c r="B38" s="1">
        <v>4</v>
      </c>
      <c r="C38" s="22">
        <v>2.8269000000000002</v>
      </c>
      <c r="D38" s="32">
        <f t="shared" si="0"/>
        <v>11.307600000000001</v>
      </c>
    </row>
    <row r="39" spans="1:4" x14ac:dyDescent="0.2">
      <c r="A39" s="3">
        <v>39850</v>
      </c>
      <c r="B39" s="1">
        <v>7</v>
      </c>
      <c r="C39" s="22">
        <v>0.2656</v>
      </c>
      <c r="D39" s="32">
        <f t="shared" si="0"/>
        <v>1.8592</v>
      </c>
    </row>
    <row r="40" spans="1:4" x14ac:dyDescent="0.2">
      <c r="A40" s="3">
        <v>39851</v>
      </c>
      <c r="B40" s="1">
        <v>9</v>
      </c>
      <c r="C40" s="22">
        <v>0.75339999999999996</v>
      </c>
      <c r="D40" s="32">
        <f t="shared" si="0"/>
        <v>6.7805999999999997</v>
      </c>
    </row>
    <row r="41" spans="1:4" x14ac:dyDescent="0.2">
      <c r="A41" s="3">
        <v>39852</v>
      </c>
      <c r="B41" s="1">
        <v>2</v>
      </c>
      <c r="C41" s="22">
        <v>8.1698000000000004</v>
      </c>
      <c r="D41" s="32">
        <f t="shared" si="0"/>
        <v>16.339600000000001</v>
      </c>
    </row>
    <row r="42" spans="1:4" x14ac:dyDescent="0.2">
      <c r="A42" s="3">
        <v>39853</v>
      </c>
      <c r="B42" s="1">
        <v>3</v>
      </c>
      <c r="C42" s="22">
        <v>0.5958</v>
      </c>
      <c r="D42" s="32">
        <f t="shared" si="0"/>
        <v>1.7873999999999999</v>
      </c>
    </row>
    <row r="43" spans="1:4" x14ac:dyDescent="0.2">
      <c r="A43" s="3">
        <v>39854</v>
      </c>
      <c r="B43" s="1">
        <v>2</v>
      </c>
      <c r="C43" s="22">
        <v>0.82940000000000003</v>
      </c>
      <c r="D43" s="32">
        <f t="shared" si="0"/>
        <v>1.6588000000000001</v>
      </c>
    </row>
    <row r="44" spans="1:4" x14ac:dyDescent="0.2">
      <c r="A44" s="3">
        <v>39855</v>
      </c>
      <c r="B44" s="1">
        <v>7</v>
      </c>
      <c r="C44" s="22">
        <v>1.3855</v>
      </c>
      <c r="D44" s="32">
        <f t="shared" si="0"/>
        <v>9.6984999999999992</v>
      </c>
    </row>
    <row r="45" spans="1:4" x14ac:dyDescent="0.2">
      <c r="A45" s="3">
        <v>39856</v>
      </c>
      <c r="B45" s="1">
        <v>1</v>
      </c>
      <c r="C45" s="22">
        <v>0.33910000000000001</v>
      </c>
      <c r="D45" s="32">
        <f t="shared" si="0"/>
        <v>0.33910000000000001</v>
      </c>
    </row>
    <row r="46" spans="1:4" x14ac:dyDescent="0.2">
      <c r="A46" s="3">
        <v>39857</v>
      </c>
      <c r="B46" s="1">
        <v>10</v>
      </c>
      <c r="C46" s="22">
        <v>0.50480000000000003</v>
      </c>
      <c r="D46" s="32">
        <f t="shared" si="0"/>
        <v>5.048</v>
      </c>
    </row>
    <row r="47" spans="1:4" x14ac:dyDescent="0.2">
      <c r="A47" s="3">
        <v>39858</v>
      </c>
      <c r="B47" s="1">
        <v>6</v>
      </c>
      <c r="C47" s="22">
        <v>1.2693000000000001</v>
      </c>
      <c r="D47" s="32">
        <f t="shared" si="0"/>
        <v>7.6158000000000001</v>
      </c>
    </row>
    <row r="48" spans="1:4" x14ac:dyDescent="0.2">
      <c r="A48" s="3">
        <v>39859</v>
      </c>
      <c r="B48" s="1">
        <v>7</v>
      </c>
      <c r="C48" s="22">
        <v>0.77580000000000005</v>
      </c>
      <c r="D48" s="32">
        <f t="shared" si="0"/>
        <v>5.4306000000000001</v>
      </c>
    </row>
    <row r="49" spans="1:4" x14ac:dyDescent="0.2">
      <c r="A49" s="3">
        <v>39860</v>
      </c>
      <c r="B49" s="1">
        <v>9</v>
      </c>
      <c r="C49" s="22">
        <v>1.6694</v>
      </c>
      <c r="D49" s="32">
        <f t="shared" si="0"/>
        <v>15.0246</v>
      </c>
    </row>
    <row r="50" spans="1:4" x14ac:dyDescent="0.2">
      <c r="A50" s="3">
        <v>39861</v>
      </c>
      <c r="B50" s="1">
        <v>11</v>
      </c>
      <c r="C50" s="22">
        <v>0.81779999999999997</v>
      </c>
      <c r="D50" s="32">
        <f t="shared" si="0"/>
        <v>8.9957999999999991</v>
      </c>
    </row>
    <row r="51" spans="1:4" x14ac:dyDescent="0.2">
      <c r="A51" s="3">
        <v>39862</v>
      </c>
      <c r="B51" s="1">
        <v>7</v>
      </c>
      <c r="C51" s="22">
        <v>1.1714</v>
      </c>
      <c r="D51" s="32">
        <f t="shared" si="0"/>
        <v>8.1997999999999998</v>
      </c>
    </row>
    <row r="52" spans="1:4" x14ac:dyDescent="0.2">
      <c r="A52" s="3">
        <v>39863</v>
      </c>
      <c r="B52" s="1">
        <v>8</v>
      </c>
      <c r="C52" s="22">
        <v>0.18360000000000001</v>
      </c>
      <c r="D52" s="32">
        <f t="shared" si="0"/>
        <v>1.4688000000000001</v>
      </c>
    </row>
    <row r="53" spans="1:4" x14ac:dyDescent="0.2">
      <c r="A53" s="3">
        <v>39864</v>
      </c>
      <c r="B53" s="1">
        <v>1</v>
      </c>
      <c r="C53" s="22">
        <v>3.24</v>
      </c>
      <c r="D53" s="32">
        <f t="shared" si="0"/>
        <v>3.24</v>
      </c>
    </row>
    <row r="54" spans="1:4" x14ac:dyDescent="0.2">
      <c r="A54" s="3">
        <v>39865</v>
      </c>
      <c r="B54" s="1">
        <v>1</v>
      </c>
      <c r="C54" s="22">
        <v>0.17960000000000001</v>
      </c>
      <c r="D54" s="32">
        <f t="shared" si="0"/>
        <v>0.17960000000000001</v>
      </c>
    </row>
    <row r="55" spans="1:4" x14ac:dyDescent="0.2">
      <c r="A55" s="3">
        <v>39866</v>
      </c>
      <c r="B55" s="1">
        <v>3</v>
      </c>
      <c r="C55" s="22">
        <v>1.6947000000000001</v>
      </c>
      <c r="D55" s="32">
        <f t="shared" si="0"/>
        <v>5.0841000000000003</v>
      </c>
    </row>
    <row r="56" spans="1:4" x14ac:dyDescent="0.2">
      <c r="A56" s="3">
        <v>39867</v>
      </c>
      <c r="B56" s="1">
        <v>1</v>
      </c>
      <c r="C56" s="22">
        <v>0.6018</v>
      </c>
      <c r="D56" s="32">
        <f t="shared" si="0"/>
        <v>0.6018</v>
      </c>
    </row>
    <row r="57" spans="1:4" x14ac:dyDescent="0.2">
      <c r="A57" s="3">
        <v>39868</v>
      </c>
      <c r="B57" s="1">
        <v>1</v>
      </c>
      <c r="C57" s="22">
        <v>1.0362</v>
      </c>
      <c r="D57" s="32">
        <f t="shared" si="0"/>
        <v>1.0362</v>
      </c>
    </row>
    <row r="58" spans="1:4" x14ac:dyDescent="0.2">
      <c r="A58" s="3">
        <v>39869</v>
      </c>
      <c r="B58" s="1">
        <v>6</v>
      </c>
      <c r="C58" s="22">
        <v>4.1308999999999996</v>
      </c>
      <c r="D58" s="32">
        <f t="shared" si="0"/>
        <v>24.785399999999996</v>
      </c>
    </row>
    <row r="59" spans="1:4" x14ac:dyDescent="0.2">
      <c r="A59" s="3">
        <v>39870</v>
      </c>
      <c r="B59" s="1">
        <v>7</v>
      </c>
      <c r="C59" s="22">
        <v>1.827</v>
      </c>
      <c r="D59" s="32">
        <f t="shared" si="0"/>
        <v>12.789</v>
      </c>
    </row>
    <row r="60" spans="1:4" x14ac:dyDescent="0.2">
      <c r="A60" s="3">
        <v>39871</v>
      </c>
      <c r="B60" s="1">
        <v>7</v>
      </c>
      <c r="C60" s="22">
        <v>1.0178</v>
      </c>
      <c r="D60" s="32">
        <f t="shared" si="0"/>
        <v>7.1246</v>
      </c>
    </row>
    <row r="61" spans="1:4" x14ac:dyDescent="0.2">
      <c r="A61" s="3">
        <v>39872</v>
      </c>
      <c r="B61" s="1">
        <v>5</v>
      </c>
      <c r="C61" s="22">
        <v>0.20430000000000001</v>
      </c>
      <c r="D61" s="32">
        <f t="shared" si="0"/>
        <v>1.0215000000000001</v>
      </c>
    </row>
    <row r="62" spans="1:4" x14ac:dyDescent="0.2">
      <c r="A62" s="3">
        <v>39873</v>
      </c>
      <c r="B62" s="1">
        <v>3</v>
      </c>
      <c r="C62" s="22">
        <v>0.30649999999999999</v>
      </c>
      <c r="D62" s="32">
        <f t="shared" si="0"/>
        <v>0.91949999999999998</v>
      </c>
    </row>
    <row r="63" spans="1:4" x14ac:dyDescent="0.2">
      <c r="A63" s="3">
        <v>39874</v>
      </c>
      <c r="B63" s="1">
        <v>2</v>
      </c>
      <c r="C63" s="22">
        <v>0.49559999999999998</v>
      </c>
      <c r="D63" s="32">
        <f t="shared" si="0"/>
        <v>0.99119999999999997</v>
      </c>
    </row>
    <row r="64" spans="1:4" x14ac:dyDescent="0.2">
      <c r="A64" s="3">
        <v>39875</v>
      </c>
      <c r="B64" s="1">
        <v>8</v>
      </c>
      <c r="C64" s="22">
        <v>2.7343000000000002</v>
      </c>
      <c r="D64" s="32">
        <f t="shared" si="0"/>
        <v>21.874400000000001</v>
      </c>
    </row>
    <row r="65" spans="1:4" x14ac:dyDescent="0.2">
      <c r="A65" s="3">
        <v>39876</v>
      </c>
      <c r="B65" s="1">
        <v>3</v>
      </c>
      <c r="C65" s="22">
        <v>0.31059999999999999</v>
      </c>
      <c r="D65" s="32">
        <f t="shared" si="0"/>
        <v>0.93179999999999996</v>
      </c>
    </row>
    <row r="66" spans="1:4" x14ac:dyDescent="0.2">
      <c r="A66" s="3">
        <v>39877</v>
      </c>
      <c r="B66" s="1">
        <v>9</v>
      </c>
      <c r="C66" s="22">
        <v>0.88200000000000001</v>
      </c>
      <c r="D66" s="32">
        <f t="shared" si="0"/>
        <v>7.9379999999999997</v>
      </c>
    </row>
    <row r="67" spans="1:4" x14ac:dyDescent="0.2">
      <c r="A67" s="3">
        <v>39878</v>
      </c>
      <c r="B67" s="1">
        <v>9</v>
      </c>
      <c r="C67" s="22">
        <v>6.6729000000000003</v>
      </c>
      <c r="D67" s="32">
        <f t="shared" si="0"/>
        <v>60.056100000000001</v>
      </c>
    </row>
    <row r="68" spans="1:4" x14ac:dyDescent="0.2">
      <c r="A68" s="3">
        <v>39879</v>
      </c>
      <c r="B68" s="1">
        <v>1</v>
      </c>
      <c r="C68" s="22">
        <v>2.3687</v>
      </c>
      <c r="D68" s="32">
        <f t="shared" ref="D68:D131" si="1">B68*C68</f>
        <v>2.3687</v>
      </c>
    </row>
    <row r="69" spans="1:4" x14ac:dyDescent="0.2">
      <c r="A69" s="3">
        <v>39880</v>
      </c>
      <c r="B69" s="1">
        <v>7</v>
      </c>
      <c r="C69" s="22">
        <v>1.4406000000000001</v>
      </c>
      <c r="D69" s="32">
        <f t="shared" si="1"/>
        <v>10.084200000000001</v>
      </c>
    </row>
    <row r="70" spans="1:4" x14ac:dyDescent="0.2">
      <c r="A70" s="3">
        <v>39881</v>
      </c>
      <c r="B70" s="1">
        <v>5</v>
      </c>
      <c r="C70" s="22">
        <v>1.6576</v>
      </c>
      <c r="D70" s="32">
        <f t="shared" si="1"/>
        <v>8.2880000000000003</v>
      </c>
    </row>
    <row r="71" spans="1:4" x14ac:dyDescent="0.2">
      <c r="A71" s="3">
        <v>39882</v>
      </c>
      <c r="B71" s="1">
        <v>4</v>
      </c>
      <c r="C71" s="22">
        <v>0.40870000000000001</v>
      </c>
      <c r="D71" s="32">
        <f t="shared" si="1"/>
        <v>1.6348</v>
      </c>
    </row>
    <row r="72" spans="1:4" x14ac:dyDescent="0.2">
      <c r="A72" s="3">
        <v>39883</v>
      </c>
      <c r="B72" s="1">
        <v>3</v>
      </c>
      <c r="C72" s="22">
        <v>3.0085999999999999</v>
      </c>
      <c r="D72" s="32">
        <f t="shared" si="1"/>
        <v>9.0258000000000003</v>
      </c>
    </row>
    <row r="73" spans="1:4" x14ac:dyDescent="0.2">
      <c r="A73" s="3">
        <v>39884</v>
      </c>
      <c r="B73" s="1">
        <v>9</v>
      </c>
      <c r="C73" s="22">
        <v>0.84199999999999997</v>
      </c>
      <c r="D73" s="32">
        <f t="shared" si="1"/>
        <v>7.5779999999999994</v>
      </c>
    </row>
    <row r="74" spans="1:4" x14ac:dyDescent="0.2">
      <c r="A74" s="3">
        <v>39885</v>
      </c>
      <c r="B74" s="1">
        <v>8</v>
      </c>
      <c r="C74" s="22">
        <v>0.76519999999999999</v>
      </c>
      <c r="D74" s="32">
        <f t="shared" si="1"/>
        <v>6.1215999999999999</v>
      </c>
    </row>
    <row r="75" spans="1:4" x14ac:dyDescent="0.2">
      <c r="A75" s="3">
        <v>39886</v>
      </c>
      <c r="B75" s="1">
        <v>5</v>
      </c>
      <c r="C75" s="22">
        <v>0.48209999999999997</v>
      </c>
      <c r="D75" s="32">
        <f t="shared" si="1"/>
        <v>2.4104999999999999</v>
      </c>
    </row>
    <row r="76" spans="1:4" x14ac:dyDescent="0.2">
      <c r="A76" s="3">
        <v>39887</v>
      </c>
      <c r="B76" s="1">
        <v>1</v>
      </c>
      <c r="C76" s="22">
        <v>0.52929999999999999</v>
      </c>
      <c r="D76" s="32">
        <f t="shared" si="1"/>
        <v>0.52929999999999999</v>
      </c>
    </row>
    <row r="77" spans="1:4" x14ac:dyDescent="0.2">
      <c r="A77" s="3">
        <v>39888</v>
      </c>
      <c r="B77" s="1">
        <v>2</v>
      </c>
      <c r="C77" s="22">
        <v>2.8955000000000002</v>
      </c>
      <c r="D77" s="32">
        <f t="shared" si="1"/>
        <v>5.7910000000000004</v>
      </c>
    </row>
    <row r="78" spans="1:4" x14ac:dyDescent="0.2">
      <c r="A78" s="3">
        <v>39889</v>
      </c>
      <c r="B78" s="1">
        <v>2</v>
      </c>
      <c r="C78" s="22">
        <v>1.9699</v>
      </c>
      <c r="D78" s="32">
        <f t="shared" si="1"/>
        <v>3.9398</v>
      </c>
    </row>
    <row r="79" spans="1:4" x14ac:dyDescent="0.2">
      <c r="A79" s="3">
        <v>39890</v>
      </c>
      <c r="B79" s="1">
        <v>2</v>
      </c>
      <c r="C79" s="22">
        <v>2.7479</v>
      </c>
      <c r="D79" s="32">
        <f t="shared" si="1"/>
        <v>5.4958</v>
      </c>
    </row>
    <row r="80" spans="1:4" x14ac:dyDescent="0.2">
      <c r="A80" s="3">
        <v>39891</v>
      </c>
      <c r="B80" s="1">
        <v>12</v>
      </c>
      <c r="C80" s="22">
        <v>0.65710000000000002</v>
      </c>
      <c r="D80" s="32">
        <f t="shared" si="1"/>
        <v>7.8852000000000002</v>
      </c>
    </row>
    <row r="81" spans="1:4" x14ac:dyDescent="0.2">
      <c r="A81" s="3">
        <v>39892</v>
      </c>
      <c r="B81" s="1">
        <v>5</v>
      </c>
      <c r="C81" s="22">
        <v>1.2722</v>
      </c>
      <c r="D81" s="32">
        <f t="shared" si="1"/>
        <v>6.3609999999999998</v>
      </c>
    </row>
    <row r="82" spans="1:4" x14ac:dyDescent="0.2">
      <c r="A82" s="3">
        <v>39893</v>
      </c>
      <c r="B82" s="1">
        <v>1</v>
      </c>
      <c r="C82" s="22">
        <v>0.48749999999999999</v>
      </c>
      <c r="D82" s="32">
        <f t="shared" si="1"/>
        <v>0.48749999999999999</v>
      </c>
    </row>
    <row r="83" spans="1:4" x14ac:dyDescent="0.2">
      <c r="A83" s="3">
        <v>39894</v>
      </c>
      <c r="B83" s="1">
        <v>1</v>
      </c>
      <c r="C83" s="22">
        <v>1.5627</v>
      </c>
      <c r="D83" s="32">
        <f t="shared" si="1"/>
        <v>1.5627</v>
      </c>
    </row>
    <row r="84" spans="1:4" x14ac:dyDescent="0.2">
      <c r="A84" s="3">
        <v>39895</v>
      </c>
      <c r="B84" s="1">
        <v>13</v>
      </c>
      <c r="C84" s="22">
        <v>0.3866</v>
      </c>
      <c r="D84" s="32">
        <f t="shared" si="1"/>
        <v>5.0258000000000003</v>
      </c>
    </row>
    <row r="85" spans="1:4" x14ac:dyDescent="0.2">
      <c r="A85" s="3">
        <v>39896</v>
      </c>
      <c r="B85" s="1">
        <v>5</v>
      </c>
      <c r="C85" s="22">
        <v>1.5423</v>
      </c>
      <c r="D85" s="32">
        <f t="shared" si="1"/>
        <v>7.7115</v>
      </c>
    </row>
    <row r="86" spans="1:4" x14ac:dyDescent="0.2">
      <c r="A86" s="3">
        <v>39897</v>
      </c>
      <c r="B86" s="1">
        <v>3</v>
      </c>
      <c r="C86" s="22">
        <v>0.69379999999999997</v>
      </c>
      <c r="D86" s="32">
        <f t="shared" si="1"/>
        <v>2.0813999999999999</v>
      </c>
    </row>
    <row r="87" spans="1:4" x14ac:dyDescent="0.2">
      <c r="A87" s="3">
        <v>39898</v>
      </c>
      <c r="B87" s="1">
        <v>4</v>
      </c>
      <c r="C87" s="22">
        <v>0.40820000000000001</v>
      </c>
      <c r="D87" s="32">
        <f t="shared" si="1"/>
        <v>1.6328</v>
      </c>
    </row>
    <row r="88" spans="1:4" x14ac:dyDescent="0.2">
      <c r="A88" s="3">
        <v>39899</v>
      </c>
      <c r="B88" s="1">
        <v>8</v>
      </c>
      <c r="C88" s="22">
        <v>0.14860000000000001</v>
      </c>
      <c r="D88" s="32">
        <f t="shared" si="1"/>
        <v>1.1888000000000001</v>
      </c>
    </row>
    <row r="89" spans="1:4" x14ac:dyDescent="0.2">
      <c r="A89" s="3">
        <v>39900</v>
      </c>
      <c r="B89" s="1">
        <v>6</v>
      </c>
      <c r="C89" s="22">
        <v>10.1836</v>
      </c>
      <c r="D89" s="32">
        <f t="shared" si="1"/>
        <v>61.101600000000005</v>
      </c>
    </row>
    <row r="90" spans="1:4" x14ac:dyDescent="0.2">
      <c r="A90" s="3">
        <v>39901</v>
      </c>
      <c r="B90" s="1">
        <v>8</v>
      </c>
      <c r="C90" s="22">
        <v>0.75539999999999996</v>
      </c>
      <c r="D90" s="32">
        <f t="shared" si="1"/>
        <v>6.0431999999999997</v>
      </c>
    </row>
    <row r="91" spans="1:4" x14ac:dyDescent="0.2">
      <c r="A91" s="3">
        <v>39902</v>
      </c>
      <c r="B91" s="1">
        <v>7</v>
      </c>
      <c r="C91" s="22">
        <v>1.224</v>
      </c>
      <c r="D91" s="32">
        <f t="shared" si="1"/>
        <v>8.5679999999999996</v>
      </c>
    </row>
    <row r="92" spans="1:4" x14ac:dyDescent="0.2">
      <c r="A92" s="3">
        <v>39903</v>
      </c>
      <c r="B92" s="1">
        <v>10</v>
      </c>
      <c r="C92" s="22">
        <v>4.2794999999999996</v>
      </c>
      <c r="D92" s="32">
        <f t="shared" si="1"/>
        <v>42.794999999999995</v>
      </c>
    </row>
    <row r="93" spans="1:4" x14ac:dyDescent="0.2">
      <c r="A93" s="3">
        <v>39904</v>
      </c>
      <c r="B93" s="1">
        <v>1</v>
      </c>
      <c r="C93" s="22">
        <v>3.2892000000000001</v>
      </c>
      <c r="D93" s="32">
        <f t="shared" si="1"/>
        <v>3.2892000000000001</v>
      </c>
    </row>
    <row r="94" spans="1:4" x14ac:dyDescent="0.2">
      <c r="A94" s="3">
        <v>39905</v>
      </c>
      <c r="B94" s="1">
        <v>3</v>
      </c>
      <c r="C94" s="22">
        <v>3.5078</v>
      </c>
      <c r="D94" s="32">
        <f t="shared" si="1"/>
        <v>10.523400000000001</v>
      </c>
    </row>
    <row r="95" spans="1:4" x14ac:dyDescent="0.2">
      <c r="A95" s="3">
        <v>39906</v>
      </c>
      <c r="B95" s="1">
        <v>3</v>
      </c>
      <c r="C95" s="22">
        <v>1.3609</v>
      </c>
      <c r="D95" s="32">
        <f t="shared" si="1"/>
        <v>4.0827</v>
      </c>
    </row>
    <row r="96" spans="1:4" x14ac:dyDescent="0.2">
      <c r="A96" s="3">
        <v>39907</v>
      </c>
      <c r="B96" s="1">
        <v>2</v>
      </c>
      <c r="C96" s="22">
        <v>2.3814000000000002</v>
      </c>
      <c r="D96" s="32">
        <f t="shared" si="1"/>
        <v>4.7628000000000004</v>
      </c>
    </row>
    <row r="97" spans="1:4" x14ac:dyDescent="0.2">
      <c r="A97" s="3">
        <v>39908</v>
      </c>
      <c r="B97" s="1">
        <v>1</v>
      </c>
      <c r="C97" s="22">
        <v>2.1093999999999999</v>
      </c>
      <c r="D97" s="32">
        <f t="shared" si="1"/>
        <v>2.1093999999999999</v>
      </c>
    </row>
    <row r="98" spans="1:4" x14ac:dyDescent="0.2">
      <c r="A98" s="3">
        <v>39909</v>
      </c>
      <c r="B98" s="1">
        <v>1</v>
      </c>
      <c r="C98" s="22">
        <v>1.3815999999999999</v>
      </c>
      <c r="D98" s="32">
        <f t="shared" si="1"/>
        <v>1.3815999999999999</v>
      </c>
    </row>
    <row r="99" spans="1:4" x14ac:dyDescent="0.2">
      <c r="A99" s="3">
        <v>39910</v>
      </c>
      <c r="B99" s="1">
        <v>6</v>
      </c>
      <c r="C99" s="22">
        <v>1.2785</v>
      </c>
      <c r="D99" s="32">
        <f t="shared" si="1"/>
        <v>7.6709999999999994</v>
      </c>
    </row>
    <row r="100" spans="1:4" x14ac:dyDescent="0.2">
      <c r="A100" s="3">
        <v>39911</v>
      </c>
      <c r="B100" s="1">
        <v>1</v>
      </c>
      <c r="C100" s="22">
        <v>0.67879999999999996</v>
      </c>
      <c r="D100" s="32">
        <f t="shared" si="1"/>
        <v>0.67879999999999996</v>
      </c>
    </row>
    <row r="101" spans="1:4" x14ac:dyDescent="0.2">
      <c r="A101" s="3">
        <v>39912</v>
      </c>
      <c r="B101" s="1">
        <v>3</v>
      </c>
      <c r="C101" s="22">
        <v>14.7925</v>
      </c>
      <c r="D101" s="32">
        <f t="shared" si="1"/>
        <v>44.377499999999998</v>
      </c>
    </row>
    <row r="102" spans="1:4" x14ac:dyDescent="0.2">
      <c r="A102" s="3">
        <v>39913</v>
      </c>
      <c r="B102" s="1">
        <v>2</v>
      </c>
      <c r="C102" s="22">
        <v>2.3439000000000001</v>
      </c>
      <c r="D102" s="32">
        <f t="shared" si="1"/>
        <v>4.6878000000000002</v>
      </c>
    </row>
    <row r="103" spans="1:4" x14ac:dyDescent="0.2">
      <c r="A103" s="3">
        <v>39914</v>
      </c>
      <c r="B103" s="1">
        <v>9</v>
      </c>
      <c r="C103" s="22">
        <v>0.86260000000000003</v>
      </c>
      <c r="D103" s="32">
        <f t="shared" si="1"/>
        <v>7.7634000000000007</v>
      </c>
    </row>
    <row r="104" spans="1:4" x14ac:dyDescent="0.2">
      <c r="A104" s="3">
        <v>39915</v>
      </c>
      <c r="B104" s="1">
        <v>1</v>
      </c>
      <c r="C104" s="22">
        <v>0.61980000000000002</v>
      </c>
      <c r="D104" s="32">
        <f t="shared" si="1"/>
        <v>0.61980000000000002</v>
      </c>
    </row>
    <row r="105" spans="1:4" x14ac:dyDescent="0.2">
      <c r="A105" s="3">
        <v>39916</v>
      </c>
      <c r="B105" s="1">
        <v>7</v>
      </c>
      <c r="C105" s="22">
        <v>1.7490000000000001</v>
      </c>
      <c r="D105" s="32">
        <f t="shared" si="1"/>
        <v>12.243</v>
      </c>
    </row>
    <row r="106" spans="1:4" x14ac:dyDescent="0.2">
      <c r="A106" s="3">
        <v>39917</v>
      </c>
      <c r="B106" s="1">
        <v>1</v>
      </c>
      <c r="C106" s="22">
        <v>0.33889999999999998</v>
      </c>
      <c r="D106" s="32">
        <f t="shared" si="1"/>
        <v>0.33889999999999998</v>
      </c>
    </row>
    <row r="107" spans="1:4" x14ac:dyDescent="0.2">
      <c r="A107" s="3">
        <v>39918</v>
      </c>
      <c r="B107" s="1">
        <v>4</v>
      </c>
      <c r="C107" s="22">
        <v>1.9463999999999999</v>
      </c>
      <c r="D107" s="32">
        <f t="shared" si="1"/>
        <v>7.7855999999999996</v>
      </c>
    </row>
    <row r="108" spans="1:4" x14ac:dyDescent="0.2">
      <c r="A108" s="3">
        <v>39919</v>
      </c>
      <c r="B108" s="1">
        <v>4</v>
      </c>
      <c r="C108" s="22">
        <v>0.18579999999999999</v>
      </c>
      <c r="D108" s="32">
        <f t="shared" si="1"/>
        <v>0.74319999999999997</v>
      </c>
    </row>
    <row r="109" spans="1:4" x14ac:dyDescent="0.2">
      <c r="A109" s="3">
        <v>39920</v>
      </c>
      <c r="B109" s="1">
        <v>6</v>
      </c>
      <c r="C109" s="22">
        <v>0.36549999999999999</v>
      </c>
      <c r="D109" s="32">
        <f t="shared" si="1"/>
        <v>2.1930000000000001</v>
      </c>
    </row>
    <row r="110" spans="1:4" x14ac:dyDescent="0.2">
      <c r="A110" s="3">
        <v>39921</v>
      </c>
      <c r="B110" s="1">
        <v>9</v>
      </c>
      <c r="C110" s="22">
        <v>0.84850000000000003</v>
      </c>
      <c r="D110" s="32">
        <f t="shared" si="1"/>
        <v>7.6364999999999998</v>
      </c>
    </row>
    <row r="111" spans="1:4" x14ac:dyDescent="0.2">
      <c r="A111" s="3">
        <v>39922</v>
      </c>
      <c r="B111" s="1">
        <v>5</v>
      </c>
      <c r="C111" s="22">
        <v>5.6318999999999999</v>
      </c>
      <c r="D111" s="32">
        <f t="shared" si="1"/>
        <v>28.159500000000001</v>
      </c>
    </row>
    <row r="112" spans="1:4" x14ac:dyDescent="0.2">
      <c r="A112" s="3">
        <v>39923</v>
      </c>
      <c r="B112" s="1">
        <v>2</v>
      </c>
      <c r="C112" s="22">
        <v>1.1226</v>
      </c>
      <c r="D112" s="32">
        <f t="shared" si="1"/>
        <v>2.2452000000000001</v>
      </c>
    </row>
    <row r="113" spans="1:4" x14ac:dyDescent="0.2">
      <c r="A113" s="3">
        <v>39924</v>
      </c>
      <c r="B113" s="1">
        <v>6</v>
      </c>
      <c r="C113" s="22">
        <v>1.6892</v>
      </c>
      <c r="D113" s="32">
        <f t="shared" si="1"/>
        <v>10.135200000000001</v>
      </c>
    </row>
    <row r="114" spans="1:4" x14ac:dyDescent="0.2">
      <c r="A114" s="3">
        <v>39925</v>
      </c>
      <c r="B114" s="1">
        <v>8</v>
      </c>
      <c r="C114" s="22">
        <v>0.60899999999999999</v>
      </c>
      <c r="D114" s="32">
        <f t="shared" si="1"/>
        <v>4.8719999999999999</v>
      </c>
    </row>
    <row r="115" spans="1:4" x14ac:dyDescent="0.2">
      <c r="A115" s="3">
        <v>39926</v>
      </c>
      <c r="B115" s="1">
        <v>1</v>
      </c>
      <c r="C115" s="22">
        <v>2.3382000000000001</v>
      </c>
      <c r="D115" s="32">
        <f t="shared" si="1"/>
        <v>2.3382000000000001</v>
      </c>
    </row>
    <row r="116" spans="1:4" x14ac:dyDescent="0.2">
      <c r="A116" s="3">
        <v>39927</v>
      </c>
      <c r="B116" s="1">
        <v>6</v>
      </c>
      <c r="C116" s="22">
        <v>5.9168000000000003</v>
      </c>
      <c r="D116" s="32">
        <f t="shared" si="1"/>
        <v>35.500799999999998</v>
      </c>
    </row>
    <row r="117" spans="1:4" x14ac:dyDescent="0.2">
      <c r="A117" s="3">
        <v>39928</v>
      </c>
      <c r="B117" s="1">
        <v>1</v>
      </c>
      <c r="C117" s="22">
        <v>4.9269999999999996</v>
      </c>
      <c r="D117" s="32">
        <f t="shared" si="1"/>
        <v>4.9269999999999996</v>
      </c>
    </row>
    <row r="118" spans="1:4" x14ac:dyDescent="0.2">
      <c r="A118" s="3">
        <v>39929</v>
      </c>
      <c r="B118" s="1">
        <v>5</v>
      </c>
      <c r="C118" s="22">
        <v>1.9072</v>
      </c>
      <c r="D118" s="32">
        <f t="shared" si="1"/>
        <v>9.5359999999999996</v>
      </c>
    </row>
    <row r="119" spans="1:4" x14ac:dyDescent="0.2">
      <c r="A119" s="3">
        <v>39930</v>
      </c>
      <c r="B119" s="1">
        <v>8</v>
      </c>
      <c r="C119" s="22">
        <v>1.6378999999999999</v>
      </c>
      <c r="D119" s="32">
        <f t="shared" si="1"/>
        <v>13.103199999999999</v>
      </c>
    </row>
    <row r="120" spans="1:4" x14ac:dyDescent="0.2">
      <c r="A120" s="3">
        <v>39931</v>
      </c>
      <c r="B120" s="1">
        <v>4</v>
      </c>
      <c r="C120" s="22">
        <v>1.1066</v>
      </c>
      <c r="D120" s="32">
        <f t="shared" si="1"/>
        <v>4.4264000000000001</v>
      </c>
    </row>
    <row r="121" spans="1:4" x14ac:dyDescent="0.2">
      <c r="A121" s="3">
        <v>39932</v>
      </c>
      <c r="B121" s="1">
        <v>8</v>
      </c>
      <c r="C121" s="22">
        <v>3.3024</v>
      </c>
      <c r="D121" s="32">
        <f t="shared" si="1"/>
        <v>26.4192</v>
      </c>
    </row>
    <row r="122" spans="1:4" x14ac:dyDescent="0.2">
      <c r="A122" s="3">
        <v>39933</v>
      </c>
      <c r="B122" s="1">
        <v>8</v>
      </c>
      <c r="C122" s="22">
        <v>0.79090000000000005</v>
      </c>
      <c r="D122" s="32">
        <f t="shared" si="1"/>
        <v>6.3272000000000004</v>
      </c>
    </row>
    <row r="123" spans="1:4" x14ac:dyDescent="0.2">
      <c r="A123" s="3">
        <v>39934</v>
      </c>
      <c r="B123" s="1">
        <v>8</v>
      </c>
      <c r="C123" s="22">
        <v>0.18659999999999999</v>
      </c>
      <c r="D123" s="32">
        <f t="shared" si="1"/>
        <v>1.4927999999999999</v>
      </c>
    </row>
    <row r="124" spans="1:4" x14ac:dyDescent="0.2">
      <c r="A124" s="3">
        <v>39935</v>
      </c>
      <c r="B124" s="1">
        <v>4</v>
      </c>
      <c r="C124" s="22">
        <v>0.81559999999999999</v>
      </c>
      <c r="D124" s="32">
        <f t="shared" si="1"/>
        <v>3.2624</v>
      </c>
    </row>
    <row r="125" spans="1:4" x14ac:dyDescent="0.2">
      <c r="A125" s="3">
        <v>39936</v>
      </c>
      <c r="B125" s="1">
        <v>3</v>
      </c>
      <c r="C125" s="22">
        <v>3.4382999999999999</v>
      </c>
      <c r="D125" s="32">
        <f t="shared" si="1"/>
        <v>10.3149</v>
      </c>
    </row>
    <row r="126" spans="1:4" x14ac:dyDescent="0.2">
      <c r="A126" s="3">
        <v>39937</v>
      </c>
      <c r="B126" s="1">
        <v>1</v>
      </c>
      <c r="C126" s="22">
        <v>2.8273000000000001</v>
      </c>
      <c r="D126" s="32">
        <f t="shared" si="1"/>
        <v>2.8273000000000001</v>
      </c>
    </row>
    <row r="127" spans="1:4" x14ac:dyDescent="0.2">
      <c r="A127" s="3">
        <v>39938</v>
      </c>
      <c r="B127" s="1">
        <v>10</v>
      </c>
      <c r="C127" s="22">
        <v>0.69279999999999997</v>
      </c>
      <c r="D127" s="32">
        <f t="shared" si="1"/>
        <v>6.9279999999999999</v>
      </c>
    </row>
    <row r="128" spans="1:4" x14ac:dyDescent="0.2">
      <c r="A128" s="3">
        <v>39939</v>
      </c>
      <c r="B128" s="1">
        <v>8</v>
      </c>
      <c r="C128" s="22">
        <v>1.9706999999999999</v>
      </c>
      <c r="D128" s="32">
        <f t="shared" si="1"/>
        <v>15.765599999999999</v>
      </c>
    </row>
    <row r="129" spans="1:4" x14ac:dyDescent="0.2">
      <c r="A129" s="3">
        <v>39940</v>
      </c>
      <c r="B129" s="1">
        <v>3</v>
      </c>
      <c r="C129" s="22">
        <v>3.2738</v>
      </c>
      <c r="D129" s="32">
        <f t="shared" si="1"/>
        <v>9.8214000000000006</v>
      </c>
    </row>
    <row r="130" spans="1:4" x14ac:dyDescent="0.2">
      <c r="A130" s="3">
        <v>39941</v>
      </c>
      <c r="B130" s="1">
        <v>2</v>
      </c>
      <c r="C130" s="22">
        <v>1.6939</v>
      </c>
      <c r="D130" s="32">
        <f t="shared" si="1"/>
        <v>3.3877999999999999</v>
      </c>
    </row>
    <row r="131" spans="1:4" x14ac:dyDescent="0.2">
      <c r="A131" s="3">
        <v>39942</v>
      </c>
      <c r="B131" s="1">
        <v>2</v>
      </c>
      <c r="C131" s="22">
        <v>0.49330000000000002</v>
      </c>
      <c r="D131" s="32">
        <f t="shared" si="1"/>
        <v>0.98660000000000003</v>
      </c>
    </row>
    <row r="132" spans="1:4" x14ac:dyDescent="0.2">
      <c r="A132" s="3">
        <v>39943</v>
      </c>
      <c r="B132" s="1">
        <v>5</v>
      </c>
      <c r="C132" s="22">
        <v>0.53910000000000002</v>
      </c>
      <c r="D132" s="32">
        <f t="shared" ref="D132:D195" si="2">B132*C132</f>
        <v>2.6955</v>
      </c>
    </row>
    <row r="133" spans="1:4" x14ac:dyDescent="0.2">
      <c r="A133" s="3">
        <v>39944</v>
      </c>
      <c r="B133" s="1">
        <v>6</v>
      </c>
      <c r="C133" s="22">
        <v>1.1525000000000001</v>
      </c>
      <c r="D133" s="32">
        <f t="shared" si="2"/>
        <v>6.9150000000000009</v>
      </c>
    </row>
    <row r="134" spans="1:4" x14ac:dyDescent="0.2">
      <c r="A134" s="3">
        <v>39945</v>
      </c>
      <c r="B134" s="1">
        <v>6</v>
      </c>
      <c r="C134" s="22">
        <v>0.9738</v>
      </c>
      <c r="D134" s="32">
        <f t="shared" si="2"/>
        <v>5.8428000000000004</v>
      </c>
    </row>
    <row r="135" spans="1:4" x14ac:dyDescent="0.2">
      <c r="A135" s="3">
        <v>39946</v>
      </c>
      <c r="B135" s="1">
        <v>3</v>
      </c>
      <c r="C135" s="22">
        <v>5.5014000000000003</v>
      </c>
      <c r="D135" s="32">
        <f t="shared" si="2"/>
        <v>16.504200000000001</v>
      </c>
    </row>
    <row r="136" spans="1:4" x14ac:dyDescent="0.2">
      <c r="A136" s="3">
        <v>39947</v>
      </c>
      <c r="B136" s="1">
        <v>4</v>
      </c>
      <c r="C136" s="22">
        <v>11.3835</v>
      </c>
      <c r="D136" s="32">
        <f t="shared" si="2"/>
        <v>45.533999999999999</v>
      </c>
    </row>
    <row r="137" spans="1:4" x14ac:dyDescent="0.2">
      <c r="A137" s="3">
        <v>39948</v>
      </c>
      <c r="B137" s="1">
        <v>5</v>
      </c>
      <c r="C137" s="22">
        <v>0.99729999999999996</v>
      </c>
      <c r="D137" s="32">
        <f t="shared" si="2"/>
        <v>4.9864999999999995</v>
      </c>
    </row>
    <row r="138" spans="1:4" x14ac:dyDescent="0.2">
      <c r="A138" s="3">
        <v>39949</v>
      </c>
      <c r="B138" s="1">
        <v>2</v>
      </c>
      <c r="C138" s="22">
        <v>0.69920000000000004</v>
      </c>
      <c r="D138" s="32">
        <f t="shared" si="2"/>
        <v>1.3984000000000001</v>
      </c>
    </row>
    <row r="139" spans="1:4" x14ac:dyDescent="0.2">
      <c r="A139" s="3">
        <v>39950</v>
      </c>
      <c r="B139" s="1">
        <v>6</v>
      </c>
      <c r="C139" s="22">
        <v>0.45590000000000003</v>
      </c>
      <c r="D139" s="32">
        <f t="shared" si="2"/>
        <v>2.7354000000000003</v>
      </c>
    </row>
    <row r="140" spans="1:4" x14ac:dyDescent="0.2">
      <c r="A140" s="3">
        <v>39951</v>
      </c>
      <c r="B140" s="1">
        <v>8</v>
      </c>
      <c r="C140" s="22">
        <v>1.6022000000000001</v>
      </c>
      <c r="D140" s="32">
        <f t="shared" si="2"/>
        <v>12.817600000000001</v>
      </c>
    </row>
    <row r="141" spans="1:4" x14ac:dyDescent="0.2">
      <c r="A141" s="3">
        <v>39952</v>
      </c>
      <c r="B141" s="1">
        <v>6</v>
      </c>
      <c r="C141" s="22">
        <v>1.2101999999999999</v>
      </c>
      <c r="D141" s="32">
        <f t="shared" si="2"/>
        <v>7.2611999999999997</v>
      </c>
    </row>
    <row r="142" spans="1:4" x14ac:dyDescent="0.2">
      <c r="A142" s="3">
        <v>39953</v>
      </c>
      <c r="B142" s="1">
        <v>3</v>
      </c>
      <c r="C142" s="22">
        <v>0.51270000000000004</v>
      </c>
      <c r="D142" s="32">
        <f t="shared" si="2"/>
        <v>1.5381</v>
      </c>
    </row>
    <row r="143" spans="1:4" x14ac:dyDescent="0.2">
      <c r="A143" s="3">
        <v>39954</v>
      </c>
      <c r="B143" s="1">
        <v>2</v>
      </c>
      <c r="C143" s="22">
        <v>0.29139999999999999</v>
      </c>
      <c r="D143" s="32">
        <f t="shared" si="2"/>
        <v>0.58279999999999998</v>
      </c>
    </row>
    <row r="144" spans="1:4" x14ac:dyDescent="0.2">
      <c r="A144" s="3">
        <v>39955</v>
      </c>
      <c r="B144" s="1">
        <v>2</v>
      </c>
      <c r="C144" s="22">
        <v>0.83499999999999996</v>
      </c>
      <c r="D144" s="32">
        <f t="shared" si="2"/>
        <v>1.67</v>
      </c>
    </row>
    <row r="145" spans="1:4" x14ac:dyDescent="0.2">
      <c r="A145" s="3">
        <v>39956</v>
      </c>
      <c r="B145" s="1">
        <v>9</v>
      </c>
      <c r="C145" s="22">
        <v>0.16830000000000001</v>
      </c>
      <c r="D145" s="32">
        <f t="shared" si="2"/>
        <v>1.5146999999999999</v>
      </c>
    </row>
    <row r="146" spans="1:4" x14ac:dyDescent="0.2">
      <c r="A146" s="3">
        <v>39957</v>
      </c>
      <c r="B146" s="1">
        <v>6</v>
      </c>
      <c r="C146" s="22">
        <v>2.1316999999999999</v>
      </c>
      <c r="D146" s="32">
        <f t="shared" si="2"/>
        <v>12.790199999999999</v>
      </c>
    </row>
    <row r="147" spans="1:4" x14ac:dyDescent="0.2">
      <c r="A147" s="3">
        <v>39958</v>
      </c>
      <c r="B147" s="1">
        <v>2</v>
      </c>
      <c r="C147" s="22">
        <v>2.1065</v>
      </c>
      <c r="D147" s="32">
        <f t="shared" si="2"/>
        <v>4.2130000000000001</v>
      </c>
    </row>
    <row r="148" spans="1:4" x14ac:dyDescent="0.2">
      <c r="A148" s="3">
        <v>39959</v>
      </c>
      <c r="B148" s="1">
        <v>9</v>
      </c>
      <c r="C148" s="22">
        <v>1.2843</v>
      </c>
      <c r="D148" s="32">
        <f t="shared" si="2"/>
        <v>11.5587</v>
      </c>
    </row>
    <row r="149" spans="1:4" x14ac:dyDescent="0.2">
      <c r="A149" s="3">
        <v>39960</v>
      </c>
      <c r="B149" s="1">
        <v>2</v>
      </c>
      <c r="C149" s="22">
        <v>1.8091999999999999</v>
      </c>
      <c r="D149" s="32">
        <f t="shared" si="2"/>
        <v>3.6183999999999998</v>
      </c>
    </row>
    <row r="150" spans="1:4" x14ac:dyDescent="0.2">
      <c r="A150" s="3">
        <v>39961</v>
      </c>
      <c r="B150" s="1">
        <v>12</v>
      </c>
      <c r="C150" s="22">
        <v>2.3534000000000002</v>
      </c>
      <c r="D150" s="32">
        <f t="shared" si="2"/>
        <v>28.2408</v>
      </c>
    </row>
    <row r="151" spans="1:4" x14ac:dyDescent="0.2">
      <c r="A151" s="3">
        <v>39962</v>
      </c>
      <c r="B151" s="1">
        <v>2</v>
      </c>
      <c r="C151" s="22">
        <v>0.16189999999999999</v>
      </c>
      <c r="D151" s="32">
        <f t="shared" si="2"/>
        <v>0.32379999999999998</v>
      </c>
    </row>
    <row r="152" spans="1:4" x14ac:dyDescent="0.2">
      <c r="A152" s="3">
        <v>39963</v>
      </c>
      <c r="B152" s="1">
        <v>9</v>
      </c>
      <c r="C152" s="22">
        <v>0.77470000000000006</v>
      </c>
      <c r="D152" s="32">
        <f t="shared" si="2"/>
        <v>6.9723000000000006</v>
      </c>
    </row>
    <row r="153" spans="1:4" x14ac:dyDescent="0.2">
      <c r="A153" s="3">
        <v>39964</v>
      </c>
      <c r="B153" s="1">
        <v>1</v>
      </c>
      <c r="C153" s="22">
        <v>0.27</v>
      </c>
      <c r="D153" s="32">
        <f t="shared" si="2"/>
        <v>0.27</v>
      </c>
    </row>
    <row r="154" spans="1:4" x14ac:dyDescent="0.2">
      <c r="A154" s="3">
        <v>39965</v>
      </c>
      <c r="B154" s="1">
        <v>11</v>
      </c>
      <c r="C154" s="22">
        <v>4.9466000000000001</v>
      </c>
      <c r="D154" s="32">
        <f t="shared" si="2"/>
        <v>54.412599999999998</v>
      </c>
    </row>
    <row r="155" spans="1:4" x14ac:dyDescent="0.2">
      <c r="A155" s="3">
        <v>39966</v>
      </c>
      <c r="B155" s="1">
        <v>6</v>
      </c>
      <c r="C155" s="22">
        <v>0.95179999999999998</v>
      </c>
      <c r="D155" s="32">
        <f t="shared" si="2"/>
        <v>5.7107999999999999</v>
      </c>
    </row>
    <row r="156" spans="1:4" x14ac:dyDescent="0.2">
      <c r="A156" s="3">
        <v>39967</v>
      </c>
      <c r="B156" s="1">
        <v>2</v>
      </c>
      <c r="C156" s="22">
        <v>0.54039999999999999</v>
      </c>
      <c r="D156" s="32">
        <f t="shared" si="2"/>
        <v>1.0808</v>
      </c>
    </row>
    <row r="157" spans="1:4" x14ac:dyDescent="0.2">
      <c r="A157" s="3">
        <v>39968</v>
      </c>
      <c r="B157" s="1">
        <v>4</v>
      </c>
      <c r="C157" s="22">
        <v>2.0693999999999999</v>
      </c>
      <c r="D157" s="32">
        <f t="shared" si="2"/>
        <v>8.2775999999999996</v>
      </c>
    </row>
    <row r="158" spans="1:4" x14ac:dyDescent="0.2">
      <c r="A158" s="3">
        <v>39969</v>
      </c>
      <c r="B158" s="1">
        <v>9</v>
      </c>
      <c r="C158" s="22">
        <v>2.0749</v>
      </c>
      <c r="D158" s="32">
        <f t="shared" si="2"/>
        <v>18.674099999999999</v>
      </c>
    </row>
    <row r="159" spans="1:4" x14ac:dyDescent="0.2">
      <c r="A159" s="3">
        <v>39970</v>
      </c>
      <c r="B159" s="1">
        <v>1</v>
      </c>
      <c r="C159" s="22">
        <v>3.0068000000000001</v>
      </c>
      <c r="D159" s="32">
        <f t="shared" si="2"/>
        <v>3.0068000000000001</v>
      </c>
    </row>
    <row r="160" spans="1:4" x14ac:dyDescent="0.2">
      <c r="A160" s="3">
        <v>39971</v>
      </c>
      <c r="B160" s="1">
        <v>6</v>
      </c>
      <c r="C160" s="22">
        <v>2.6076999999999999</v>
      </c>
      <c r="D160" s="32">
        <f t="shared" si="2"/>
        <v>15.6462</v>
      </c>
    </row>
    <row r="161" spans="1:4" x14ac:dyDescent="0.2">
      <c r="A161" s="3">
        <v>39972</v>
      </c>
      <c r="B161" s="1">
        <v>4</v>
      </c>
      <c r="C161" s="22">
        <v>2.3599000000000001</v>
      </c>
      <c r="D161" s="32">
        <f t="shared" si="2"/>
        <v>9.4396000000000004</v>
      </c>
    </row>
    <row r="162" spans="1:4" x14ac:dyDescent="0.2">
      <c r="A162" s="3">
        <v>39973</v>
      </c>
      <c r="B162" s="1">
        <v>13</v>
      </c>
      <c r="C162" s="22">
        <v>0.81689999999999996</v>
      </c>
      <c r="D162" s="32">
        <f t="shared" si="2"/>
        <v>10.6197</v>
      </c>
    </row>
    <row r="163" spans="1:4" x14ac:dyDescent="0.2">
      <c r="A163" s="3">
        <v>39974</v>
      </c>
      <c r="B163" s="1">
        <v>6</v>
      </c>
      <c r="C163" s="22">
        <v>0.93510000000000004</v>
      </c>
      <c r="D163" s="32">
        <f t="shared" si="2"/>
        <v>5.6105999999999998</v>
      </c>
    </row>
    <row r="164" spans="1:4" x14ac:dyDescent="0.2">
      <c r="A164" s="3">
        <v>39975</v>
      </c>
      <c r="B164" s="1">
        <v>1</v>
      </c>
      <c r="C164" s="22">
        <v>0.31509999999999999</v>
      </c>
      <c r="D164" s="32">
        <f t="shared" si="2"/>
        <v>0.31509999999999999</v>
      </c>
    </row>
    <row r="165" spans="1:4" x14ac:dyDescent="0.2">
      <c r="A165" s="3">
        <v>39976</v>
      </c>
      <c r="B165" s="1">
        <v>5</v>
      </c>
      <c r="C165" s="22">
        <v>1.2129000000000001</v>
      </c>
      <c r="D165" s="32">
        <f t="shared" si="2"/>
        <v>6.0645000000000007</v>
      </c>
    </row>
    <row r="166" spans="1:4" x14ac:dyDescent="0.2">
      <c r="A166" s="3">
        <v>39977</v>
      </c>
      <c r="B166" s="1">
        <v>4</v>
      </c>
      <c r="C166" s="22">
        <v>0.95330000000000004</v>
      </c>
      <c r="D166" s="32">
        <f t="shared" si="2"/>
        <v>3.8132000000000001</v>
      </c>
    </row>
    <row r="167" spans="1:4" x14ac:dyDescent="0.2">
      <c r="A167" s="3">
        <v>39978</v>
      </c>
      <c r="B167" s="1">
        <v>7</v>
      </c>
      <c r="C167" s="22">
        <v>3.8336999999999999</v>
      </c>
      <c r="D167" s="32">
        <f t="shared" si="2"/>
        <v>26.835899999999999</v>
      </c>
    </row>
    <row r="168" spans="1:4" x14ac:dyDescent="0.2">
      <c r="A168" s="3">
        <v>39979</v>
      </c>
      <c r="B168" s="1">
        <v>1</v>
      </c>
      <c r="C168" s="22">
        <v>0.8619</v>
      </c>
      <c r="D168" s="32">
        <f t="shared" si="2"/>
        <v>0.8619</v>
      </c>
    </row>
    <row r="169" spans="1:4" x14ac:dyDescent="0.2">
      <c r="A169" s="3">
        <v>39980</v>
      </c>
      <c r="B169" s="1">
        <v>3</v>
      </c>
      <c r="C169" s="22">
        <v>0.47610000000000002</v>
      </c>
      <c r="D169" s="32">
        <f t="shared" si="2"/>
        <v>1.4283000000000001</v>
      </c>
    </row>
    <row r="170" spans="1:4" x14ac:dyDescent="0.2">
      <c r="A170" s="3">
        <v>39981</v>
      </c>
      <c r="B170" s="1">
        <v>5</v>
      </c>
      <c r="C170" s="22">
        <v>0.40010000000000001</v>
      </c>
      <c r="D170" s="32">
        <f t="shared" si="2"/>
        <v>2.0005000000000002</v>
      </c>
    </row>
    <row r="171" spans="1:4" x14ac:dyDescent="0.2">
      <c r="A171" s="3">
        <v>39982</v>
      </c>
      <c r="B171" s="1">
        <v>8</v>
      </c>
      <c r="C171" s="22">
        <v>3.0356999999999998</v>
      </c>
      <c r="D171" s="32">
        <f t="shared" si="2"/>
        <v>24.285599999999999</v>
      </c>
    </row>
    <row r="172" spans="1:4" x14ac:dyDescent="0.2">
      <c r="A172" s="3">
        <v>39983</v>
      </c>
      <c r="B172" s="1">
        <v>2</v>
      </c>
      <c r="C172" s="22">
        <v>1.3642000000000001</v>
      </c>
      <c r="D172" s="32">
        <f t="shared" si="2"/>
        <v>2.7284000000000002</v>
      </c>
    </row>
    <row r="173" spans="1:4" x14ac:dyDescent="0.2">
      <c r="A173" s="3">
        <v>39984</v>
      </c>
      <c r="B173" s="1">
        <v>4</v>
      </c>
      <c r="C173" s="22">
        <v>4.0083000000000002</v>
      </c>
      <c r="D173" s="32">
        <f t="shared" si="2"/>
        <v>16.033200000000001</v>
      </c>
    </row>
    <row r="174" spans="1:4" x14ac:dyDescent="0.2">
      <c r="A174" s="3">
        <v>39985</v>
      </c>
      <c r="B174" s="1">
        <v>2</v>
      </c>
      <c r="C174" s="22">
        <v>1.4460999999999999</v>
      </c>
      <c r="D174" s="32">
        <f t="shared" si="2"/>
        <v>2.8921999999999999</v>
      </c>
    </row>
    <row r="175" spans="1:4" x14ac:dyDescent="0.2">
      <c r="A175" s="3">
        <v>39986</v>
      </c>
      <c r="B175" s="1">
        <v>2</v>
      </c>
      <c r="C175" s="22">
        <v>2.2250999999999999</v>
      </c>
      <c r="D175" s="32">
        <f t="shared" si="2"/>
        <v>4.4501999999999997</v>
      </c>
    </row>
    <row r="176" spans="1:4" x14ac:dyDescent="0.2">
      <c r="A176" s="3">
        <v>39987</v>
      </c>
      <c r="B176" s="1">
        <v>10</v>
      </c>
      <c r="C176" s="22">
        <v>2.3130999999999999</v>
      </c>
      <c r="D176" s="32">
        <f t="shared" si="2"/>
        <v>23.131</v>
      </c>
    </row>
    <row r="177" spans="1:4" x14ac:dyDescent="0.2">
      <c r="A177" s="3">
        <v>39988</v>
      </c>
      <c r="B177" s="1">
        <v>6</v>
      </c>
      <c r="C177" s="22">
        <v>0.27729999999999999</v>
      </c>
      <c r="D177" s="32">
        <f t="shared" si="2"/>
        <v>1.6637999999999999</v>
      </c>
    </row>
    <row r="178" spans="1:4" x14ac:dyDescent="0.2">
      <c r="A178" s="3">
        <v>39989</v>
      </c>
      <c r="B178" s="1">
        <v>4</v>
      </c>
      <c r="C178" s="22">
        <v>1.5291999999999999</v>
      </c>
      <c r="D178" s="32">
        <f t="shared" si="2"/>
        <v>6.1167999999999996</v>
      </c>
    </row>
    <row r="179" spans="1:4" x14ac:dyDescent="0.2">
      <c r="A179" s="3">
        <v>39990</v>
      </c>
      <c r="B179" s="1">
        <v>3</v>
      </c>
      <c r="C179" s="22">
        <v>1.7068000000000001</v>
      </c>
      <c r="D179" s="32">
        <f t="shared" si="2"/>
        <v>5.1204000000000001</v>
      </c>
    </row>
    <row r="180" spans="1:4" x14ac:dyDescent="0.2">
      <c r="A180" s="3">
        <v>39991</v>
      </c>
      <c r="B180" s="1">
        <v>1</v>
      </c>
      <c r="C180" s="22">
        <v>1.6595</v>
      </c>
      <c r="D180" s="32">
        <f t="shared" si="2"/>
        <v>1.6595</v>
      </c>
    </row>
    <row r="181" spans="1:4" x14ac:dyDescent="0.2">
      <c r="A181" s="3">
        <v>39992</v>
      </c>
      <c r="B181" s="1">
        <v>2</v>
      </c>
      <c r="C181" s="22">
        <v>1.1397999999999999</v>
      </c>
      <c r="D181" s="32">
        <f t="shared" si="2"/>
        <v>2.2795999999999998</v>
      </c>
    </row>
    <row r="182" spans="1:4" x14ac:dyDescent="0.2">
      <c r="A182" s="3">
        <v>39993</v>
      </c>
      <c r="B182" s="1">
        <v>4</v>
      </c>
      <c r="C182" s="22">
        <v>1.1309</v>
      </c>
      <c r="D182" s="32">
        <f t="shared" si="2"/>
        <v>4.5236000000000001</v>
      </c>
    </row>
    <row r="183" spans="1:4" x14ac:dyDescent="0.2">
      <c r="A183" s="3">
        <v>39994</v>
      </c>
      <c r="B183" s="1">
        <v>6</v>
      </c>
      <c r="C183" s="22">
        <v>0.2858</v>
      </c>
      <c r="D183" s="32">
        <f t="shared" si="2"/>
        <v>1.7147999999999999</v>
      </c>
    </row>
    <row r="184" spans="1:4" x14ac:dyDescent="0.2">
      <c r="A184" s="3">
        <v>39995</v>
      </c>
      <c r="B184" s="1">
        <v>1</v>
      </c>
      <c r="C184" s="22">
        <v>1.0227999999999999</v>
      </c>
      <c r="D184" s="32">
        <f t="shared" si="2"/>
        <v>1.0227999999999999</v>
      </c>
    </row>
    <row r="185" spans="1:4" x14ac:dyDescent="0.2">
      <c r="A185" s="3">
        <v>39996</v>
      </c>
      <c r="B185" s="1">
        <v>2</v>
      </c>
      <c r="C185" s="22">
        <v>1.0387</v>
      </c>
      <c r="D185" s="32">
        <f t="shared" si="2"/>
        <v>2.0773999999999999</v>
      </c>
    </row>
    <row r="186" spans="1:4" x14ac:dyDescent="0.2">
      <c r="A186" s="3">
        <v>39997</v>
      </c>
      <c r="B186" s="1">
        <v>1</v>
      </c>
      <c r="C186" s="22">
        <v>4.3887999999999998</v>
      </c>
      <c r="D186" s="32">
        <f t="shared" si="2"/>
        <v>4.3887999999999998</v>
      </c>
    </row>
    <row r="187" spans="1:4" x14ac:dyDescent="0.2">
      <c r="A187" s="3">
        <v>39998</v>
      </c>
      <c r="B187" s="1">
        <v>1</v>
      </c>
      <c r="C187" s="22">
        <v>0.74790000000000001</v>
      </c>
      <c r="D187" s="32">
        <f t="shared" si="2"/>
        <v>0.74790000000000001</v>
      </c>
    </row>
    <row r="188" spans="1:4" x14ac:dyDescent="0.2">
      <c r="A188" s="3">
        <v>39999</v>
      </c>
      <c r="B188" s="1">
        <v>8</v>
      </c>
      <c r="C188" s="22">
        <v>0.61570000000000003</v>
      </c>
      <c r="D188" s="32">
        <f t="shared" si="2"/>
        <v>4.9256000000000002</v>
      </c>
    </row>
    <row r="189" spans="1:4" x14ac:dyDescent="0.2">
      <c r="A189" s="3">
        <v>40000</v>
      </c>
      <c r="B189" s="1">
        <v>4</v>
      </c>
      <c r="C189" s="22">
        <v>0.62139999999999995</v>
      </c>
      <c r="D189" s="32">
        <f t="shared" si="2"/>
        <v>2.4855999999999998</v>
      </c>
    </row>
    <row r="190" spans="1:4" x14ac:dyDescent="0.2">
      <c r="A190" s="3">
        <v>40001</v>
      </c>
      <c r="B190" s="1">
        <v>1</v>
      </c>
      <c r="C190" s="22">
        <v>1.7885</v>
      </c>
      <c r="D190" s="32">
        <f t="shared" si="2"/>
        <v>1.7885</v>
      </c>
    </row>
    <row r="191" spans="1:4" x14ac:dyDescent="0.2">
      <c r="A191" s="3">
        <v>40002</v>
      </c>
      <c r="B191" s="1">
        <v>4</v>
      </c>
      <c r="C191" s="22">
        <v>0.34089999999999998</v>
      </c>
      <c r="D191" s="32">
        <f t="shared" si="2"/>
        <v>1.3635999999999999</v>
      </c>
    </row>
    <row r="192" spans="1:4" x14ac:dyDescent="0.2">
      <c r="A192" s="3">
        <v>40003</v>
      </c>
      <c r="B192" s="1">
        <v>3</v>
      </c>
      <c r="C192" s="22">
        <v>9.3727999999999998</v>
      </c>
      <c r="D192" s="32">
        <f t="shared" si="2"/>
        <v>28.118400000000001</v>
      </c>
    </row>
    <row r="193" spans="1:4" x14ac:dyDescent="0.2">
      <c r="A193" s="3">
        <v>40004</v>
      </c>
      <c r="B193" s="1">
        <v>7</v>
      </c>
      <c r="C193" s="22">
        <v>0.72209999999999996</v>
      </c>
      <c r="D193" s="32">
        <f t="shared" si="2"/>
        <v>5.0546999999999995</v>
      </c>
    </row>
    <row r="194" spans="1:4" x14ac:dyDescent="0.2">
      <c r="A194" s="3">
        <v>40005</v>
      </c>
      <c r="B194" s="1">
        <v>5</v>
      </c>
      <c r="C194" s="22">
        <v>2.2048000000000001</v>
      </c>
      <c r="D194" s="32">
        <f t="shared" si="2"/>
        <v>11.024000000000001</v>
      </c>
    </row>
    <row r="195" spans="1:4" x14ac:dyDescent="0.2">
      <c r="A195" s="3">
        <v>40006</v>
      </c>
      <c r="B195" s="1">
        <v>3</v>
      </c>
      <c r="C195" s="22">
        <v>7.4553000000000003</v>
      </c>
      <c r="D195" s="32">
        <f t="shared" si="2"/>
        <v>22.3659</v>
      </c>
    </row>
    <row r="196" spans="1:4" x14ac:dyDescent="0.2">
      <c r="A196" s="3">
        <v>40007</v>
      </c>
      <c r="B196" s="1">
        <v>7</v>
      </c>
      <c r="C196" s="22">
        <v>0.93799999999999994</v>
      </c>
      <c r="D196" s="32">
        <f t="shared" ref="D196:D259" si="3">B196*C196</f>
        <v>6.5659999999999998</v>
      </c>
    </row>
    <row r="197" spans="1:4" x14ac:dyDescent="0.2">
      <c r="A197" s="3">
        <v>40008</v>
      </c>
      <c r="B197" s="1">
        <v>1</v>
      </c>
      <c r="C197" s="22">
        <v>2.8933</v>
      </c>
      <c r="D197" s="32">
        <f t="shared" si="3"/>
        <v>2.8933</v>
      </c>
    </row>
    <row r="198" spans="1:4" x14ac:dyDescent="0.2">
      <c r="A198" s="3">
        <v>40009</v>
      </c>
      <c r="B198" s="1">
        <v>1</v>
      </c>
      <c r="C198" s="22">
        <v>2.3279000000000001</v>
      </c>
      <c r="D198" s="32">
        <f t="shared" si="3"/>
        <v>2.3279000000000001</v>
      </c>
    </row>
    <row r="199" spans="1:4" x14ac:dyDescent="0.2">
      <c r="A199" s="3">
        <v>40010</v>
      </c>
      <c r="B199" s="1">
        <v>6</v>
      </c>
      <c r="C199" s="22">
        <v>1.8271999999999999</v>
      </c>
      <c r="D199" s="32">
        <f t="shared" si="3"/>
        <v>10.963200000000001</v>
      </c>
    </row>
    <row r="200" spans="1:4" x14ac:dyDescent="0.2">
      <c r="A200" s="3">
        <v>40011</v>
      </c>
      <c r="B200" s="1">
        <v>1</v>
      </c>
      <c r="C200" s="22">
        <v>0.99060000000000004</v>
      </c>
      <c r="D200" s="32">
        <f t="shared" si="3"/>
        <v>0.99060000000000004</v>
      </c>
    </row>
    <row r="201" spans="1:4" x14ac:dyDescent="0.2">
      <c r="A201" s="3">
        <v>40012</v>
      </c>
      <c r="B201" s="1">
        <v>14</v>
      </c>
      <c r="C201" s="22">
        <v>2.8104</v>
      </c>
      <c r="D201" s="32">
        <f t="shared" si="3"/>
        <v>39.345599999999997</v>
      </c>
    </row>
    <row r="202" spans="1:4" x14ac:dyDescent="0.2">
      <c r="A202" s="3">
        <v>40013</v>
      </c>
      <c r="B202" s="1">
        <v>2</v>
      </c>
      <c r="C202" s="22">
        <v>2.1718999999999999</v>
      </c>
      <c r="D202" s="32">
        <f t="shared" si="3"/>
        <v>4.3437999999999999</v>
      </c>
    </row>
    <row r="203" spans="1:4" x14ac:dyDescent="0.2">
      <c r="A203" s="3">
        <v>40014</v>
      </c>
      <c r="B203" s="1">
        <v>3</v>
      </c>
      <c r="C203" s="22">
        <v>0.13730000000000001</v>
      </c>
      <c r="D203" s="32">
        <f t="shared" si="3"/>
        <v>0.41190000000000004</v>
      </c>
    </row>
    <row r="204" spans="1:4" x14ac:dyDescent="0.2">
      <c r="A204" s="3">
        <v>40015</v>
      </c>
      <c r="B204" s="1">
        <v>4</v>
      </c>
      <c r="C204" s="22">
        <v>0.71609999999999996</v>
      </c>
      <c r="D204" s="32">
        <f t="shared" si="3"/>
        <v>2.8643999999999998</v>
      </c>
    </row>
    <row r="205" spans="1:4" x14ac:dyDescent="0.2">
      <c r="A205" s="3">
        <v>40016</v>
      </c>
      <c r="B205" s="1">
        <v>7</v>
      </c>
      <c r="C205" s="22">
        <v>11.2667</v>
      </c>
      <c r="D205" s="32">
        <f t="shared" si="3"/>
        <v>78.866900000000001</v>
      </c>
    </row>
    <row r="206" spans="1:4" x14ac:dyDescent="0.2">
      <c r="A206" s="3">
        <v>40017</v>
      </c>
      <c r="B206" s="1">
        <v>3</v>
      </c>
      <c r="C206" s="22">
        <v>2.0840000000000001</v>
      </c>
      <c r="D206" s="32">
        <f t="shared" si="3"/>
        <v>6.2520000000000007</v>
      </c>
    </row>
    <row r="207" spans="1:4" x14ac:dyDescent="0.2">
      <c r="A207" s="3">
        <v>40018</v>
      </c>
      <c r="B207" s="1">
        <v>6</v>
      </c>
      <c r="C207" s="22">
        <v>0.53590000000000004</v>
      </c>
      <c r="D207" s="32">
        <f t="shared" si="3"/>
        <v>3.2154000000000003</v>
      </c>
    </row>
    <row r="208" spans="1:4" x14ac:dyDescent="0.2">
      <c r="A208" s="3">
        <v>40019</v>
      </c>
      <c r="B208" s="1">
        <v>2</v>
      </c>
      <c r="C208" s="22">
        <v>0.65410000000000001</v>
      </c>
      <c r="D208" s="32">
        <f t="shared" si="3"/>
        <v>1.3082</v>
      </c>
    </row>
    <row r="209" spans="1:4" x14ac:dyDescent="0.2">
      <c r="A209" s="3">
        <v>40020</v>
      </c>
      <c r="B209" s="1">
        <v>1</v>
      </c>
      <c r="C209" s="22">
        <v>2.6840999999999999</v>
      </c>
      <c r="D209" s="32">
        <f t="shared" si="3"/>
        <v>2.6840999999999999</v>
      </c>
    </row>
    <row r="210" spans="1:4" x14ac:dyDescent="0.2">
      <c r="A210" s="3">
        <v>40021</v>
      </c>
      <c r="B210" s="1">
        <v>6</v>
      </c>
      <c r="C210" s="22">
        <v>0.93379999999999996</v>
      </c>
      <c r="D210" s="32">
        <f t="shared" si="3"/>
        <v>5.6028000000000002</v>
      </c>
    </row>
    <row r="211" spans="1:4" x14ac:dyDescent="0.2">
      <c r="A211" s="3">
        <v>40022</v>
      </c>
      <c r="B211" s="1">
        <v>9</v>
      </c>
      <c r="C211" s="22">
        <v>2.0390000000000001</v>
      </c>
      <c r="D211" s="32">
        <f t="shared" si="3"/>
        <v>18.351000000000003</v>
      </c>
    </row>
    <row r="212" spans="1:4" x14ac:dyDescent="0.2">
      <c r="A212" s="3">
        <v>40023</v>
      </c>
      <c r="B212" s="1">
        <v>1</v>
      </c>
      <c r="C212" s="22">
        <v>2.0002</v>
      </c>
      <c r="D212" s="32">
        <f t="shared" si="3"/>
        <v>2.0002</v>
      </c>
    </row>
    <row r="213" spans="1:4" x14ac:dyDescent="0.2">
      <c r="A213" s="3">
        <v>40024</v>
      </c>
      <c r="B213" s="1">
        <v>6</v>
      </c>
      <c r="C213" s="22">
        <v>1.3909</v>
      </c>
      <c r="D213" s="32">
        <f t="shared" si="3"/>
        <v>8.3453999999999997</v>
      </c>
    </row>
    <row r="214" spans="1:4" x14ac:dyDescent="0.2">
      <c r="A214" s="3">
        <v>40025</v>
      </c>
      <c r="B214" s="1">
        <v>6</v>
      </c>
      <c r="C214" s="22">
        <v>0.54179999999999995</v>
      </c>
      <c r="D214" s="32">
        <f t="shared" si="3"/>
        <v>3.2507999999999999</v>
      </c>
    </row>
    <row r="215" spans="1:4" x14ac:dyDescent="0.2">
      <c r="A215" s="3">
        <v>40026</v>
      </c>
      <c r="B215" s="1">
        <v>4</v>
      </c>
      <c r="C215" s="22">
        <v>1.135</v>
      </c>
      <c r="D215" s="32">
        <f t="shared" si="3"/>
        <v>4.54</v>
      </c>
    </row>
    <row r="216" spans="1:4" x14ac:dyDescent="0.2">
      <c r="A216" s="3">
        <v>40027</v>
      </c>
      <c r="B216" s="1">
        <v>2</v>
      </c>
      <c r="C216" s="22">
        <v>3.8975</v>
      </c>
      <c r="D216" s="32">
        <f t="shared" si="3"/>
        <v>7.7949999999999999</v>
      </c>
    </row>
    <row r="217" spans="1:4" x14ac:dyDescent="0.2">
      <c r="A217" s="3">
        <v>40028</v>
      </c>
      <c r="B217" s="1">
        <v>3</v>
      </c>
      <c r="C217" s="22">
        <v>2.4068000000000001</v>
      </c>
      <c r="D217" s="32">
        <f t="shared" si="3"/>
        <v>7.2203999999999997</v>
      </c>
    </row>
    <row r="218" spans="1:4" x14ac:dyDescent="0.2">
      <c r="A218" s="3">
        <v>40029</v>
      </c>
      <c r="B218" s="1">
        <v>1</v>
      </c>
      <c r="C218" s="22">
        <v>1.5229999999999999</v>
      </c>
      <c r="D218" s="32">
        <f t="shared" si="3"/>
        <v>1.5229999999999999</v>
      </c>
    </row>
    <row r="219" spans="1:4" x14ac:dyDescent="0.2">
      <c r="A219" s="3">
        <v>40030</v>
      </c>
      <c r="B219" s="1">
        <v>11</v>
      </c>
      <c r="C219" s="22">
        <v>6.2512999999999996</v>
      </c>
      <c r="D219" s="32">
        <f t="shared" si="3"/>
        <v>68.764299999999992</v>
      </c>
    </row>
    <row r="220" spans="1:4" x14ac:dyDescent="0.2">
      <c r="A220" s="3">
        <v>40031</v>
      </c>
      <c r="B220" s="1">
        <v>3</v>
      </c>
      <c r="C220" s="22">
        <v>8.7091999999999992</v>
      </c>
      <c r="D220" s="32">
        <f t="shared" si="3"/>
        <v>26.127599999999997</v>
      </c>
    </row>
    <row r="221" spans="1:4" x14ac:dyDescent="0.2">
      <c r="A221" s="3">
        <v>40032</v>
      </c>
      <c r="B221" s="1">
        <v>9</v>
      </c>
      <c r="C221" s="22">
        <v>9.1222999999999992</v>
      </c>
      <c r="D221" s="32">
        <f t="shared" si="3"/>
        <v>82.100699999999989</v>
      </c>
    </row>
    <row r="222" spans="1:4" x14ac:dyDescent="0.2">
      <c r="A222" s="3">
        <v>40033</v>
      </c>
      <c r="B222" s="1">
        <v>2</v>
      </c>
      <c r="C222" s="22">
        <v>0.20599999999999999</v>
      </c>
      <c r="D222" s="32">
        <f t="shared" si="3"/>
        <v>0.41199999999999998</v>
      </c>
    </row>
    <row r="223" spans="1:4" x14ac:dyDescent="0.2">
      <c r="A223" s="3">
        <v>40034</v>
      </c>
      <c r="B223" s="1">
        <v>3</v>
      </c>
      <c r="C223" s="22">
        <v>4.6452999999999998</v>
      </c>
      <c r="D223" s="32">
        <f t="shared" si="3"/>
        <v>13.9359</v>
      </c>
    </row>
    <row r="224" spans="1:4" x14ac:dyDescent="0.2">
      <c r="A224" s="3">
        <v>40035</v>
      </c>
      <c r="B224" s="1">
        <v>6</v>
      </c>
      <c r="C224" s="22">
        <v>2.8662000000000001</v>
      </c>
      <c r="D224" s="32">
        <f t="shared" si="3"/>
        <v>17.197200000000002</v>
      </c>
    </row>
    <row r="225" spans="1:4" x14ac:dyDescent="0.2">
      <c r="A225" s="3">
        <v>40036</v>
      </c>
      <c r="B225" s="1">
        <v>1</v>
      </c>
      <c r="C225" s="22">
        <v>0.56389999999999996</v>
      </c>
      <c r="D225" s="32">
        <f t="shared" si="3"/>
        <v>0.56389999999999996</v>
      </c>
    </row>
    <row r="226" spans="1:4" x14ac:dyDescent="0.2">
      <c r="A226" s="3">
        <v>40037</v>
      </c>
      <c r="B226" s="1">
        <v>4</v>
      </c>
      <c r="C226" s="22">
        <v>0.39269999999999999</v>
      </c>
      <c r="D226" s="32">
        <f t="shared" si="3"/>
        <v>1.5708</v>
      </c>
    </row>
    <row r="227" spans="1:4" x14ac:dyDescent="0.2">
      <c r="A227" s="3">
        <v>40038</v>
      </c>
      <c r="B227" s="1">
        <v>5</v>
      </c>
      <c r="C227" s="22">
        <v>0.56559999999999999</v>
      </c>
      <c r="D227" s="32">
        <f t="shared" si="3"/>
        <v>2.8279999999999998</v>
      </c>
    </row>
    <row r="228" spans="1:4" x14ac:dyDescent="0.2">
      <c r="A228" s="3">
        <v>40039</v>
      </c>
      <c r="B228" s="1">
        <v>6</v>
      </c>
      <c r="C228" s="22">
        <v>1.1761999999999999</v>
      </c>
      <c r="D228" s="32">
        <f t="shared" si="3"/>
        <v>7.0571999999999999</v>
      </c>
    </row>
    <row r="229" spans="1:4" x14ac:dyDescent="0.2">
      <c r="A229" s="3">
        <v>40040</v>
      </c>
      <c r="B229" s="1">
        <v>2</v>
      </c>
      <c r="C229" s="22">
        <v>1.8713</v>
      </c>
      <c r="D229" s="32">
        <f t="shared" si="3"/>
        <v>3.7425999999999999</v>
      </c>
    </row>
    <row r="230" spans="1:4" x14ac:dyDescent="0.2">
      <c r="A230" s="3">
        <v>40041</v>
      </c>
      <c r="B230" s="1">
        <v>1</v>
      </c>
      <c r="C230" s="22">
        <v>2.7776999999999998</v>
      </c>
      <c r="D230" s="32">
        <f t="shared" si="3"/>
        <v>2.7776999999999998</v>
      </c>
    </row>
    <row r="231" spans="1:4" x14ac:dyDescent="0.2">
      <c r="A231" s="3">
        <v>40042</v>
      </c>
      <c r="B231" s="1">
        <v>7</v>
      </c>
      <c r="C231" s="22">
        <v>7.2316000000000003</v>
      </c>
      <c r="D231" s="32">
        <f t="shared" si="3"/>
        <v>50.621200000000002</v>
      </c>
    </row>
    <row r="232" spans="1:4" x14ac:dyDescent="0.2">
      <c r="A232" s="3">
        <v>40043</v>
      </c>
      <c r="B232" s="1">
        <v>1</v>
      </c>
      <c r="C232" s="22">
        <v>0.48630000000000001</v>
      </c>
      <c r="D232" s="32">
        <f t="shared" si="3"/>
        <v>0.48630000000000001</v>
      </c>
    </row>
    <row r="233" spans="1:4" x14ac:dyDescent="0.2">
      <c r="A233" s="3">
        <v>40044</v>
      </c>
      <c r="B233" s="1">
        <v>4</v>
      </c>
      <c r="C233" s="22">
        <v>2.7736000000000001</v>
      </c>
      <c r="D233" s="32">
        <f t="shared" si="3"/>
        <v>11.0944</v>
      </c>
    </row>
    <row r="234" spans="1:4" x14ac:dyDescent="0.2">
      <c r="A234" s="3">
        <v>40045</v>
      </c>
      <c r="B234" s="1">
        <v>2</v>
      </c>
      <c r="C234" s="22">
        <v>5.7942</v>
      </c>
      <c r="D234" s="32">
        <f t="shared" si="3"/>
        <v>11.5884</v>
      </c>
    </row>
    <row r="235" spans="1:4" x14ac:dyDescent="0.2">
      <c r="A235" s="3">
        <v>40046</v>
      </c>
      <c r="B235" s="1">
        <v>3</v>
      </c>
      <c r="C235" s="22">
        <v>1.7501</v>
      </c>
      <c r="D235" s="32">
        <f t="shared" si="3"/>
        <v>5.2503000000000002</v>
      </c>
    </row>
    <row r="236" spans="1:4" x14ac:dyDescent="0.2">
      <c r="A236" s="3">
        <v>40047</v>
      </c>
      <c r="B236" s="1">
        <v>3</v>
      </c>
      <c r="C236" s="22">
        <v>0.66010000000000002</v>
      </c>
      <c r="D236" s="32">
        <f t="shared" si="3"/>
        <v>1.9803000000000002</v>
      </c>
    </row>
    <row r="237" spans="1:4" x14ac:dyDescent="0.2">
      <c r="A237" s="3">
        <v>40048</v>
      </c>
      <c r="B237" s="1">
        <v>1</v>
      </c>
      <c r="C237" s="22">
        <v>1.9823</v>
      </c>
      <c r="D237" s="32">
        <f t="shared" si="3"/>
        <v>1.9823</v>
      </c>
    </row>
    <row r="238" spans="1:4" x14ac:dyDescent="0.2">
      <c r="A238" s="3">
        <v>40049</v>
      </c>
      <c r="B238" s="1">
        <v>10</v>
      </c>
      <c r="C238" s="22">
        <v>2.2858000000000001</v>
      </c>
      <c r="D238" s="32">
        <f t="shared" si="3"/>
        <v>22.858000000000001</v>
      </c>
    </row>
    <row r="239" spans="1:4" x14ac:dyDescent="0.2">
      <c r="A239" s="3">
        <v>40050</v>
      </c>
      <c r="B239" s="1">
        <v>4</v>
      </c>
      <c r="C239" s="22">
        <v>0.76380000000000003</v>
      </c>
      <c r="D239" s="32">
        <f t="shared" si="3"/>
        <v>3.0552000000000001</v>
      </c>
    </row>
    <row r="240" spans="1:4" x14ac:dyDescent="0.2">
      <c r="A240" s="3">
        <v>40051</v>
      </c>
      <c r="B240" s="1">
        <v>3</v>
      </c>
      <c r="C240" s="22">
        <v>0.98089999999999999</v>
      </c>
      <c r="D240" s="32">
        <f t="shared" si="3"/>
        <v>2.9426999999999999</v>
      </c>
    </row>
    <row r="241" spans="1:4" x14ac:dyDescent="0.2">
      <c r="A241" s="3">
        <v>40052</v>
      </c>
      <c r="B241" s="1">
        <v>6</v>
      </c>
      <c r="C241" s="22">
        <v>5.4230999999999998</v>
      </c>
      <c r="D241" s="32">
        <f t="shared" si="3"/>
        <v>32.538600000000002</v>
      </c>
    </row>
    <row r="242" spans="1:4" x14ac:dyDescent="0.2">
      <c r="A242" s="3">
        <v>40053</v>
      </c>
      <c r="B242" s="1">
        <v>1</v>
      </c>
      <c r="C242" s="22">
        <v>0.73750000000000004</v>
      </c>
      <c r="D242" s="32">
        <f t="shared" si="3"/>
        <v>0.73750000000000004</v>
      </c>
    </row>
    <row r="243" spans="1:4" x14ac:dyDescent="0.2">
      <c r="A243" s="3">
        <v>40054</v>
      </c>
      <c r="B243" s="1">
        <v>5</v>
      </c>
      <c r="C243" s="22">
        <v>0.75939999999999996</v>
      </c>
      <c r="D243" s="32">
        <f t="shared" si="3"/>
        <v>3.7969999999999997</v>
      </c>
    </row>
    <row r="244" spans="1:4" x14ac:dyDescent="0.2">
      <c r="A244" s="3">
        <v>40055</v>
      </c>
      <c r="B244" s="1">
        <v>3</v>
      </c>
      <c r="C244" s="22">
        <v>0.51980000000000004</v>
      </c>
      <c r="D244" s="32">
        <f t="shared" si="3"/>
        <v>1.5594000000000001</v>
      </c>
    </row>
    <row r="245" spans="1:4" x14ac:dyDescent="0.2">
      <c r="A245" s="3">
        <v>40056</v>
      </c>
      <c r="B245" s="1">
        <v>1</v>
      </c>
      <c r="C245" s="22">
        <v>0.52780000000000005</v>
      </c>
      <c r="D245" s="32">
        <f t="shared" si="3"/>
        <v>0.52780000000000005</v>
      </c>
    </row>
    <row r="246" spans="1:4" x14ac:dyDescent="0.2">
      <c r="A246" s="3">
        <v>40057</v>
      </c>
      <c r="B246" s="1">
        <v>2</v>
      </c>
      <c r="C246" s="22">
        <v>1.8935999999999999</v>
      </c>
      <c r="D246" s="32">
        <f t="shared" si="3"/>
        <v>3.7871999999999999</v>
      </c>
    </row>
    <row r="247" spans="1:4" x14ac:dyDescent="0.2">
      <c r="A247" s="3">
        <v>40058</v>
      </c>
      <c r="B247" s="1">
        <v>4</v>
      </c>
      <c r="C247" s="22">
        <v>1.0666</v>
      </c>
      <c r="D247" s="32">
        <f t="shared" si="3"/>
        <v>4.2664</v>
      </c>
    </row>
    <row r="248" spans="1:4" x14ac:dyDescent="0.2">
      <c r="A248" s="3">
        <v>40059</v>
      </c>
      <c r="B248" s="1">
        <v>8</v>
      </c>
      <c r="C248" s="22">
        <v>1.5212000000000001</v>
      </c>
      <c r="D248" s="32">
        <f t="shared" si="3"/>
        <v>12.169600000000001</v>
      </c>
    </row>
    <row r="249" spans="1:4" x14ac:dyDescent="0.2">
      <c r="A249" s="3">
        <v>40060</v>
      </c>
      <c r="B249" s="1">
        <v>9</v>
      </c>
      <c r="C249" s="22">
        <v>4.5547000000000004</v>
      </c>
      <c r="D249" s="32">
        <f t="shared" si="3"/>
        <v>40.9923</v>
      </c>
    </row>
    <row r="250" spans="1:4" x14ac:dyDescent="0.2">
      <c r="A250" s="3">
        <v>40061</v>
      </c>
      <c r="B250" s="1">
        <v>3</v>
      </c>
      <c r="C250" s="22">
        <v>8.8345000000000002</v>
      </c>
      <c r="D250" s="32">
        <f t="shared" si="3"/>
        <v>26.503500000000003</v>
      </c>
    </row>
    <row r="251" spans="1:4" x14ac:dyDescent="0.2">
      <c r="A251" s="3">
        <v>40062</v>
      </c>
      <c r="B251" s="1">
        <v>5</v>
      </c>
      <c r="C251" s="22">
        <v>3.7633000000000001</v>
      </c>
      <c r="D251" s="32">
        <f t="shared" si="3"/>
        <v>18.816500000000001</v>
      </c>
    </row>
    <row r="252" spans="1:4" x14ac:dyDescent="0.2">
      <c r="A252" s="3">
        <v>40063</v>
      </c>
      <c r="B252" s="1">
        <v>14</v>
      </c>
      <c r="C252" s="22">
        <v>2.3412999999999999</v>
      </c>
      <c r="D252" s="32">
        <f t="shared" si="3"/>
        <v>32.778199999999998</v>
      </c>
    </row>
    <row r="253" spans="1:4" x14ac:dyDescent="0.2">
      <c r="A253" s="3">
        <v>40064</v>
      </c>
      <c r="B253" s="1">
        <v>9</v>
      </c>
      <c r="C253" s="22">
        <v>7.2126999999999999</v>
      </c>
      <c r="D253" s="32">
        <f t="shared" si="3"/>
        <v>64.914299999999997</v>
      </c>
    </row>
    <row r="254" spans="1:4" x14ac:dyDescent="0.2">
      <c r="A254" s="3">
        <v>40065</v>
      </c>
      <c r="B254" s="1">
        <v>5</v>
      </c>
      <c r="C254" s="22">
        <v>2.4929000000000001</v>
      </c>
      <c r="D254" s="32">
        <f t="shared" si="3"/>
        <v>12.464500000000001</v>
      </c>
    </row>
    <row r="255" spans="1:4" x14ac:dyDescent="0.2">
      <c r="A255" s="3">
        <v>40066</v>
      </c>
      <c r="B255" s="1">
        <v>10</v>
      </c>
      <c r="C255" s="22">
        <v>11.1083</v>
      </c>
      <c r="D255" s="32">
        <f t="shared" si="3"/>
        <v>111.083</v>
      </c>
    </row>
    <row r="256" spans="1:4" x14ac:dyDescent="0.2">
      <c r="A256" s="3">
        <v>40067</v>
      </c>
      <c r="B256" s="1">
        <v>2</v>
      </c>
      <c r="C256" s="22">
        <v>1.1929000000000001</v>
      </c>
      <c r="D256" s="32">
        <f t="shared" si="3"/>
        <v>2.3858000000000001</v>
      </c>
    </row>
    <row r="257" spans="1:4" x14ac:dyDescent="0.2">
      <c r="A257" s="3">
        <v>40068</v>
      </c>
      <c r="B257" s="1">
        <v>1</v>
      </c>
      <c r="C257" s="22">
        <v>2.1356000000000002</v>
      </c>
      <c r="D257" s="32">
        <f t="shared" si="3"/>
        <v>2.1356000000000002</v>
      </c>
    </row>
    <row r="258" spans="1:4" x14ac:dyDescent="0.2">
      <c r="A258" s="3">
        <v>40069</v>
      </c>
      <c r="B258" s="1">
        <v>6</v>
      </c>
      <c r="C258" s="22">
        <v>2.8319999999999999</v>
      </c>
      <c r="D258" s="32">
        <f t="shared" si="3"/>
        <v>16.991999999999997</v>
      </c>
    </row>
    <row r="259" spans="1:4" x14ac:dyDescent="0.2">
      <c r="A259" s="3">
        <v>40070</v>
      </c>
      <c r="B259" s="1">
        <v>1</v>
      </c>
      <c r="C259" s="22">
        <v>1.0555000000000001</v>
      </c>
      <c r="D259" s="32">
        <f t="shared" si="3"/>
        <v>1.0555000000000001</v>
      </c>
    </row>
    <row r="260" spans="1:4" x14ac:dyDescent="0.2">
      <c r="A260" s="3">
        <v>40071</v>
      </c>
      <c r="B260" s="1">
        <v>5</v>
      </c>
      <c r="C260" s="22">
        <v>0.65390000000000004</v>
      </c>
      <c r="D260" s="32">
        <f t="shared" ref="D260:D323" si="4">B260*C260</f>
        <v>3.2695000000000003</v>
      </c>
    </row>
    <row r="261" spans="1:4" x14ac:dyDescent="0.2">
      <c r="A261" s="3">
        <v>40072</v>
      </c>
      <c r="B261" s="1">
        <v>10</v>
      </c>
      <c r="C261" s="22">
        <v>3.5493000000000001</v>
      </c>
      <c r="D261" s="32">
        <f t="shared" si="4"/>
        <v>35.493000000000002</v>
      </c>
    </row>
    <row r="262" spans="1:4" x14ac:dyDescent="0.2">
      <c r="A262" s="3">
        <v>40073</v>
      </c>
      <c r="B262" s="1">
        <v>1</v>
      </c>
      <c r="C262" s="22">
        <v>1.9504999999999999</v>
      </c>
      <c r="D262" s="32">
        <f t="shared" si="4"/>
        <v>1.9504999999999999</v>
      </c>
    </row>
    <row r="263" spans="1:4" x14ac:dyDescent="0.2">
      <c r="A263" s="3">
        <v>40074</v>
      </c>
      <c r="B263" s="1">
        <v>4</v>
      </c>
      <c r="C263" s="22">
        <v>0.95389999999999997</v>
      </c>
      <c r="D263" s="32">
        <f t="shared" si="4"/>
        <v>3.8155999999999999</v>
      </c>
    </row>
    <row r="264" spans="1:4" x14ac:dyDescent="0.2">
      <c r="A264" s="3">
        <v>40075</v>
      </c>
      <c r="B264" s="1">
        <v>2</v>
      </c>
      <c r="C264" s="22">
        <v>0.59989999999999999</v>
      </c>
      <c r="D264" s="32">
        <f t="shared" si="4"/>
        <v>1.1998</v>
      </c>
    </row>
    <row r="265" spans="1:4" x14ac:dyDescent="0.2">
      <c r="A265" s="3">
        <v>40076</v>
      </c>
      <c r="B265" s="1">
        <v>9</v>
      </c>
      <c r="C265" s="22">
        <v>1.6504000000000001</v>
      </c>
      <c r="D265" s="32">
        <f t="shared" si="4"/>
        <v>14.8536</v>
      </c>
    </row>
    <row r="266" spans="1:4" x14ac:dyDescent="0.2">
      <c r="A266" s="3">
        <v>40077</v>
      </c>
      <c r="B266" s="1">
        <v>3</v>
      </c>
      <c r="C266" s="22">
        <v>0.23860000000000001</v>
      </c>
      <c r="D266" s="32">
        <f t="shared" si="4"/>
        <v>0.71579999999999999</v>
      </c>
    </row>
    <row r="267" spans="1:4" x14ac:dyDescent="0.2">
      <c r="A267" s="3">
        <v>40078</v>
      </c>
      <c r="B267" s="1">
        <v>4</v>
      </c>
      <c r="C267" s="22">
        <v>1.262</v>
      </c>
      <c r="D267" s="32">
        <f t="shared" si="4"/>
        <v>5.048</v>
      </c>
    </row>
    <row r="268" spans="1:4" x14ac:dyDescent="0.2">
      <c r="A268" s="3">
        <v>40079</v>
      </c>
      <c r="B268" s="1">
        <v>4</v>
      </c>
      <c r="C268" s="22">
        <v>0.2717</v>
      </c>
      <c r="D268" s="32">
        <f t="shared" si="4"/>
        <v>1.0868</v>
      </c>
    </row>
    <row r="269" spans="1:4" x14ac:dyDescent="0.2">
      <c r="A269" s="3">
        <v>40080</v>
      </c>
      <c r="B269" s="1">
        <v>3</v>
      </c>
      <c r="C269" s="22">
        <v>0.15790000000000001</v>
      </c>
      <c r="D269" s="32">
        <f t="shared" si="4"/>
        <v>0.47370000000000001</v>
      </c>
    </row>
    <row r="270" spans="1:4" x14ac:dyDescent="0.2">
      <c r="A270" s="3">
        <v>40081</v>
      </c>
      <c r="B270" s="1">
        <v>8</v>
      </c>
      <c r="C270" s="22">
        <v>3.6593</v>
      </c>
      <c r="D270" s="32">
        <f t="shared" si="4"/>
        <v>29.2744</v>
      </c>
    </row>
    <row r="271" spans="1:4" x14ac:dyDescent="0.2">
      <c r="A271" s="3">
        <v>40082</v>
      </c>
      <c r="B271" s="1">
        <v>6</v>
      </c>
      <c r="C271" s="22">
        <v>1.7536</v>
      </c>
      <c r="D271" s="32">
        <f t="shared" si="4"/>
        <v>10.521599999999999</v>
      </c>
    </row>
    <row r="272" spans="1:4" x14ac:dyDescent="0.2">
      <c r="A272" s="3">
        <v>40083</v>
      </c>
      <c r="B272" s="1">
        <v>1</v>
      </c>
      <c r="C272" s="22">
        <v>0.3695</v>
      </c>
      <c r="D272" s="32">
        <f t="shared" si="4"/>
        <v>0.3695</v>
      </c>
    </row>
    <row r="273" spans="1:4" x14ac:dyDescent="0.2">
      <c r="A273" s="3">
        <v>40084</v>
      </c>
      <c r="B273" s="1">
        <v>8</v>
      </c>
      <c r="C273" s="22">
        <v>2.2155</v>
      </c>
      <c r="D273" s="32">
        <f t="shared" si="4"/>
        <v>17.724</v>
      </c>
    </row>
    <row r="274" spans="1:4" x14ac:dyDescent="0.2">
      <c r="A274" s="3">
        <v>40085</v>
      </c>
      <c r="B274" s="1">
        <v>1</v>
      </c>
      <c r="C274" s="22">
        <v>1.099</v>
      </c>
      <c r="D274" s="32">
        <f t="shared" si="4"/>
        <v>1.099</v>
      </c>
    </row>
    <row r="275" spans="1:4" x14ac:dyDescent="0.2">
      <c r="A275" s="3">
        <v>40086</v>
      </c>
      <c r="B275" s="1">
        <v>6</v>
      </c>
      <c r="C275" s="22">
        <v>1.3672</v>
      </c>
      <c r="D275" s="32">
        <f t="shared" si="4"/>
        <v>8.2031999999999989</v>
      </c>
    </row>
    <row r="276" spans="1:4" x14ac:dyDescent="0.2">
      <c r="A276" s="3">
        <v>40087</v>
      </c>
      <c r="B276" s="1">
        <v>5</v>
      </c>
      <c r="C276" s="22">
        <v>2.7294999999999998</v>
      </c>
      <c r="D276" s="32">
        <f t="shared" si="4"/>
        <v>13.647499999999999</v>
      </c>
    </row>
    <row r="277" spans="1:4" x14ac:dyDescent="0.2">
      <c r="A277" s="3">
        <v>40088</v>
      </c>
      <c r="B277" s="1">
        <v>3</v>
      </c>
      <c r="C277" s="22">
        <v>0.55200000000000005</v>
      </c>
      <c r="D277" s="32">
        <f t="shared" si="4"/>
        <v>1.6560000000000001</v>
      </c>
    </row>
    <row r="278" spans="1:4" x14ac:dyDescent="0.2">
      <c r="A278" s="3">
        <v>40089</v>
      </c>
      <c r="B278" s="1">
        <v>1</v>
      </c>
      <c r="C278" s="22">
        <v>1.4525999999999999</v>
      </c>
      <c r="D278" s="32">
        <f t="shared" si="4"/>
        <v>1.4525999999999999</v>
      </c>
    </row>
    <row r="279" spans="1:4" x14ac:dyDescent="0.2">
      <c r="A279" s="3">
        <v>40090</v>
      </c>
      <c r="B279" s="1">
        <v>8</v>
      </c>
      <c r="C279" s="22">
        <v>1.6625000000000001</v>
      </c>
      <c r="D279" s="32">
        <f t="shared" si="4"/>
        <v>13.3</v>
      </c>
    </row>
    <row r="280" spans="1:4" x14ac:dyDescent="0.2">
      <c r="A280" s="3">
        <v>40091</v>
      </c>
      <c r="B280" s="1">
        <v>4</v>
      </c>
      <c r="C280" s="22">
        <v>0.52949999999999997</v>
      </c>
      <c r="D280" s="32">
        <f t="shared" si="4"/>
        <v>2.1179999999999999</v>
      </c>
    </row>
    <row r="281" spans="1:4" x14ac:dyDescent="0.2">
      <c r="A281" s="3">
        <v>40092</v>
      </c>
      <c r="B281" s="1">
        <v>4</v>
      </c>
      <c r="C281" s="22">
        <v>0.90249999999999997</v>
      </c>
      <c r="D281" s="32">
        <f t="shared" si="4"/>
        <v>3.61</v>
      </c>
    </row>
    <row r="282" spans="1:4" x14ac:dyDescent="0.2">
      <c r="A282" s="3">
        <v>40093</v>
      </c>
      <c r="B282" s="1">
        <v>3</v>
      </c>
      <c r="C282" s="22">
        <v>3.4979</v>
      </c>
      <c r="D282" s="32">
        <f t="shared" si="4"/>
        <v>10.4937</v>
      </c>
    </row>
    <row r="283" spans="1:4" x14ac:dyDescent="0.2">
      <c r="A283" s="3">
        <v>40094</v>
      </c>
      <c r="B283" s="1">
        <v>3</v>
      </c>
      <c r="C283" s="22">
        <v>1.0988</v>
      </c>
      <c r="D283" s="32">
        <f t="shared" si="4"/>
        <v>3.2964000000000002</v>
      </c>
    </row>
    <row r="284" spans="1:4" x14ac:dyDescent="0.2">
      <c r="A284" s="3">
        <v>40095</v>
      </c>
      <c r="B284" s="1">
        <v>4</v>
      </c>
      <c r="C284" s="22">
        <v>1.0349999999999999</v>
      </c>
      <c r="D284" s="32">
        <f t="shared" si="4"/>
        <v>4.1399999999999997</v>
      </c>
    </row>
    <row r="285" spans="1:4" x14ac:dyDescent="0.2">
      <c r="A285" s="3">
        <v>40096</v>
      </c>
      <c r="B285" s="1">
        <v>6</v>
      </c>
      <c r="C285" s="22">
        <v>3.6743999999999999</v>
      </c>
      <c r="D285" s="32">
        <f t="shared" si="4"/>
        <v>22.046399999999998</v>
      </c>
    </row>
    <row r="286" spans="1:4" x14ac:dyDescent="0.2">
      <c r="A286" s="3">
        <v>40097</v>
      </c>
      <c r="B286" s="1">
        <v>4</v>
      </c>
      <c r="C286" s="22">
        <v>1.4825999999999999</v>
      </c>
      <c r="D286" s="32">
        <f t="shared" si="4"/>
        <v>5.9303999999999997</v>
      </c>
    </row>
    <row r="287" spans="1:4" x14ac:dyDescent="0.2">
      <c r="A287" s="3">
        <v>40098</v>
      </c>
      <c r="B287" s="1">
        <v>10</v>
      </c>
      <c r="C287" s="22">
        <v>0.54949999999999999</v>
      </c>
      <c r="D287" s="32">
        <f t="shared" si="4"/>
        <v>5.4950000000000001</v>
      </c>
    </row>
    <row r="288" spans="1:4" x14ac:dyDescent="0.2">
      <c r="A288" s="3">
        <v>40099</v>
      </c>
      <c r="B288" s="1">
        <v>1</v>
      </c>
      <c r="C288" s="22">
        <v>1.4205000000000001</v>
      </c>
      <c r="D288" s="32">
        <f t="shared" si="4"/>
        <v>1.4205000000000001</v>
      </c>
    </row>
    <row r="289" spans="1:4" x14ac:dyDescent="0.2">
      <c r="A289" s="3">
        <v>40100</v>
      </c>
      <c r="B289" s="1">
        <v>1</v>
      </c>
      <c r="C289" s="22">
        <v>4.9444999999999997</v>
      </c>
      <c r="D289" s="32">
        <f t="shared" si="4"/>
        <v>4.9444999999999997</v>
      </c>
    </row>
    <row r="290" spans="1:4" x14ac:dyDescent="0.2">
      <c r="A290" s="3">
        <v>40101</v>
      </c>
      <c r="B290" s="1">
        <v>2</v>
      </c>
      <c r="C290" s="22">
        <v>0.94</v>
      </c>
      <c r="D290" s="32">
        <f t="shared" si="4"/>
        <v>1.88</v>
      </c>
    </row>
    <row r="291" spans="1:4" x14ac:dyDescent="0.2">
      <c r="A291" s="3">
        <v>40102</v>
      </c>
      <c r="B291" s="1">
        <v>8</v>
      </c>
      <c r="C291" s="22">
        <v>0.88449999999999995</v>
      </c>
      <c r="D291" s="32">
        <f t="shared" si="4"/>
        <v>7.0759999999999996</v>
      </c>
    </row>
    <row r="292" spans="1:4" x14ac:dyDescent="0.2">
      <c r="A292" s="3">
        <v>40103</v>
      </c>
      <c r="B292" s="1">
        <v>7</v>
      </c>
      <c r="C292" s="22">
        <v>0.83630000000000004</v>
      </c>
      <c r="D292" s="32">
        <f t="shared" si="4"/>
        <v>5.8541000000000007</v>
      </c>
    </row>
    <row r="293" spans="1:4" x14ac:dyDescent="0.2">
      <c r="A293" s="3">
        <v>40104</v>
      </c>
      <c r="B293" s="1">
        <v>1</v>
      </c>
      <c r="C293" s="22">
        <v>2.8441000000000001</v>
      </c>
      <c r="D293" s="32">
        <f t="shared" si="4"/>
        <v>2.8441000000000001</v>
      </c>
    </row>
    <row r="294" spans="1:4" x14ac:dyDescent="0.2">
      <c r="A294" s="3">
        <v>40105</v>
      </c>
      <c r="B294" s="1">
        <v>7</v>
      </c>
      <c r="C294" s="22">
        <v>0.21579999999999999</v>
      </c>
      <c r="D294" s="32">
        <f t="shared" si="4"/>
        <v>1.5105999999999999</v>
      </c>
    </row>
    <row r="295" spans="1:4" x14ac:dyDescent="0.2">
      <c r="A295" s="3">
        <v>40106</v>
      </c>
      <c r="B295" s="1">
        <v>5</v>
      </c>
      <c r="C295" s="22">
        <v>4.3712999999999997</v>
      </c>
      <c r="D295" s="32">
        <f t="shared" si="4"/>
        <v>21.856499999999997</v>
      </c>
    </row>
    <row r="296" spans="1:4" x14ac:dyDescent="0.2">
      <c r="A296" s="3">
        <v>40107</v>
      </c>
      <c r="B296" s="1">
        <v>5</v>
      </c>
      <c r="C296" s="22">
        <v>3.3976999999999999</v>
      </c>
      <c r="D296" s="32">
        <f t="shared" si="4"/>
        <v>16.988499999999998</v>
      </c>
    </row>
    <row r="297" spans="1:4" x14ac:dyDescent="0.2">
      <c r="A297" s="3">
        <v>40108</v>
      </c>
      <c r="B297" s="1">
        <v>1</v>
      </c>
      <c r="C297" s="22">
        <v>1.4252</v>
      </c>
      <c r="D297" s="32">
        <f t="shared" si="4"/>
        <v>1.4252</v>
      </c>
    </row>
    <row r="298" spans="1:4" x14ac:dyDescent="0.2">
      <c r="A298" s="3">
        <v>40109</v>
      </c>
      <c r="B298" s="1">
        <v>8</v>
      </c>
      <c r="C298" s="22">
        <v>1.0282</v>
      </c>
      <c r="D298" s="32">
        <f t="shared" si="4"/>
        <v>8.2256</v>
      </c>
    </row>
    <row r="299" spans="1:4" x14ac:dyDescent="0.2">
      <c r="A299" s="3">
        <v>40110</v>
      </c>
      <c r="B299" s="1">
        <v>8</v>
      </c>
      <c r="C299" s="22">
        <v>1.2807999999999999</v>
      </c>
      <c r="D299" s="32">
        <f t="shared" si="4"/>
        <v>10.2464</v>
      </c>
    </row>
    <row r="300" spans="1:4" x14ac:dyDescent="0.2">
      <c r="A300" s="3">
        <v>40111</v>
      </c>
      <c r="B300" s="1">
        <v>7</v>
      </c>
      <c r="C300" s="22">
        <v>0.52969999999999995</v>
      </c>
      <c r="D300" s="32">
        <f t="shared" si="4"/>
        <v>3.7078999999999995</v>
      </c>
    </row>
    <row r="301" spans="1:4" x14ac:dyDescent="0.2">
      <c r="A301" s="3">
        <v>40112</v>
      </c>
      <c r="B301" s="1">
        <v>8</v>
      </c>
      <c r="C301" s="22">
        <v>10.457000000000001</v>
      </c>
      <c r="D301" s="32">
        <f t="shared" si="4"/>
        <v>83.656000000000006</v>
      </c>
    </row>
    <row r="302" spans="1:4" x14ac:dyDescent="0.2">
      <c r="A302" s="3">
        <v>40113</v>
      </c>
      <c r="B302" s="1">
        <v>11</v>
      </c>
      <c r="C302" s="22">
        <v>0.71599999999999997</v>
      </c>
      <c r="D302" s="32">
        <f t="shared" si="4"/>
        <v>7.8759999999999994</v>
      </c>
    </row>
    <row r="303" spans="1:4" x14ac:dyDescent="0.2">
      <c r="A303" s="3">
        <v>40114</v>
      </c>
      <c r="B303" s="1">
        <v>3</v>
      </c>
      <c r="C303" s="22">
        <v>1.3015000000000001</v>
      </c>
      <c r="D303" s="32">
        <f t="shared" si="4"/>
        <v>3.9045000000000005</v>
      </c>
    </row>
    <row r="304" spans="1:4" x14ac:dyDescent="0.2">
      <c r="A304" s="3">
        <v>40115</v>
      </c>
      <c r="B304" s="1">
        <v>6</v>
      </c>
      <c r="C304" s="22">
        <v>1.1785000000000001</v>
      </c>
      <c r="D304" s="32">
        <f t="shared" si="4"/>
        <v>7.0710000000000006</v>
      </c>
    </row>
    <row r="305" spans="1:4" x14ac:dyDescent="0.2">
      <c r="A305" s="3">
        <v>40116</v>
      </c>
      <c r="B305" s="1">
        <v>6</v>
      </c>
      <c r="C305" s="22">
        <v>0.53849999999999998</v>
      </c>
      <c r="D305" s="32">
        <f t="shared" si="4"/>
        <v>3.2309999999999999</v>
      </c>
    </row>
    <row r="306" spans="1:4" x14ac:dyDescent="0.2">
      <c r="A306" s="3">
        <v>40117</v>
      </c>
      <c r="B306" s="1">
        <v>3</v>
      </c>
      <c r="C306" s="22">
        <v>1.3592</v>
      </c>
      <c r="D306" s="32">
        <f t="shared" si="4"/>
        <v>4.0776000000000003</v>
      </c>
    </row>
    <row r="307" spans="1:4" x14ac:dyDescent="0.2">
      <c r="A307" s="3">
        <v>40118</v>
      </c>
      <c r="B307" s="1">
        <v>6</v>
      </c>
      <c r="C307" s="22">
        <v>0.5575</v>
      </c>
      <c r="D307" s="32">
        <f t="shared" si="4"/>
        <v>3.3449999999999998</v>
      </c>
    </row>
    <row r="308" spans="1:4" x14ac:dyDescent="0.2">
      <c r="A308" s="3">
        <v>40119</v>
      </c>
      <c r="B308" s="1">
        <v>2</v>
      </c>
      <c r="C308" s="22">
        <v>1.8737999999999999</v>
      </c>
      <c r="D308" s="32">
        <f t="shared" si="4"/>
        <v>3.7475999999999998</v>
      </c>
    </row>
    <row r="309" spans="1:4" x14ac:dyDescent="0.2">
      <c r="A309" s="3">
        <v>40120</v>
      </c>
      <c r="B309" s="1">
        <v>4</v>
      </c>
      <c r="C309" s="22">
        <v>9.1468000000000007</v>
      </c>
      <c r="D309" s="32">
        <f t="shared" si="4"/>
        <v>36.587200000000003</v>
      </c>
    </row>
    <row r="310" spans="1:4" x14ac:dyDescent="0.2">
      <c r="A310" s="3">
        <v>40121</v>
      </c>
      <c r="B310" s="1">
        <v>3</v>
      </c>
      <c r="C310" s="22">
        <v>0.52690000000000003</v>
      </c>
      <c r="D310" s="32">
        <f t="shared" si="4"/>
        <v>1.5807000000000002</v>
      </c>
    </row>
    <row r="311" spans="1:4" x14ac:dyDescent="0.2">
      <c r="A311" s="3">
        <v>40122</v>
      </c>
      <c r="B311" s="1">
        <v>1</v>
      </c>
      <c r="C311" s="22">
        <v>0.20180000000000001</v>
      </c>
      <c r="D311" s="32">
        <f t="shared" si="4"/>
        <v>0.20180000000000001</v>
      </c>
    </row>
    <row r="312" spans="1:4" x14ac:dyDescent="0.2">
      <c r="A312" s="3">
        <v>40123</v>
      </c>
      <c r="B312" s="1">
        <v>1</v>
      </c>
      <c r="C312" s="22">
        <v>0.45250000000000001</v>
      </c>
      <c r="D312" s="32">
        <f t="shared" si="4"/>
        <v>0.45250000000000001</v>
      </c>
    </row>
    <row r="313" spans="1:4" x14ac:dyDescent="0.2">
      <c r="A313" s="3">
        <v>40124</v>
      </c>
      <c r="B313" s="1">
        <v>1</v>
      </c>
      <c r="C313" s="22">
        <v>0.41220000000000001</v>
      </c>
      <c r="D313" s="32">
        <f t="shared" si="4"/>
        <v>0.41220000000000001</v>
      </c>
    </row>
    <row r="314" spans="1:4" x14ac:dyDescent="0.2">
      <c r="A314" s="3">
        <v>40125</v>
      </c>
      <c r="B314" s="1">
        <v>10</v>
      </c>
      <c r="C314" s="22">
        <v>0.77429999999999999</v>
      </c>
      <c r="D314" s="32">
        <f t="shared" si="4"/>
        <v>7.7430000000000003</v>
      </c>
    </row>
    <row r="315" spans="1:4" x14ac:dyDescent="0.2">
      <c r="A315" s="3">
        <v>40126</v>
      </c>
      <c r="B315" s="1">
        <v>2</v>
      </c>
      <c r="C315" s="22">
        <v>1.4119999999999999</v>
      </c>
      <c r="D315" s="32">
        <f t="shared" si="4"/>
        <v>2.8239999999999998</v>
      </c>
    </row>
    <row r="316" spans="1:4" x14ac:dyDescent="0.2">
      <c r="A316" s="3">
        <v>40127</v>
      </c>
      <c r="B316" s="1">
        <v>5</v>
      </c>
      <c r="C316" s="22">
        <v>2.6009000000000002</v>
      </c>
      <c r="D316" s="32">
        <f t="shared" si="4"/>
        <v>13.0045</v>
      </c>
    </row>
    <row r="317" spans="1:4" x14ac:dyDescent="0.2">
      <c r="A317" s="3">
        <v>40128</v>
      </c>
      <c r="B317" s="1">
        <v>10</v>
      </c>
      <c r="C317" s="22">
        <v>0.54930000000000001</v>
      </c>
      <c r="D317" s="32">
        <f t="shared" si="4"/>
        <v>5.4930000000000003</v>
      </c>
    </row>
    <row r="318" spans="1:4" x14ac:dyDescent="0.2">
      <c r="A318" s="3">
        <v>40129</v>
      </c>
      <c r="B318" s="1">
        <v>4</v>
      </c>
      <c r="C318" s="22">
        <v>2.9054000000000002</v>
      </c>
      <c r="D318" s="32">
        <f t="shared" si="4"/>
        <v>11.621600000000001</v>
      </c>
    </row>
    <row r="319" spans="1:4" x14ac:dyDescent="0.2">
      <c r="A319" s="3">
        <v>40130</v>
      </c>
      <c r="B319" s="1">
        <v>8</v>
      </c>
      <c r="C319" s="22">
        <v>0.33700000000000002</v>
      </c>
      <c r="D319" s="32">
        <f t="shared" si="4"/>
        <v>2.6960000000000002</v>
      </c>
    </row>
    <row r="320" spans="1:4" x14ac:dyDescent="0.2">
      <c r="A320" s="3">
        <v>40131</v>
      </c>
      <c r="B320" s="1">
        <v>1</v>
      </c>
      <c r="C320" s="22">
        <v>1.8954</v>
      </c>
      <c r="D320" s="32">
        <f t="shared" si="4"/>
        <v>1.8954</v>
      </c>
    </row>
    <row r="321" spans="1:4" x14ac:dyDescent="0.2">
      <c r="A321" s="3">
        <v>40132</v>
      </c>
      <c r="B321" s="1">
        <v>3</v>
      </c>
      <c r="C321" s="22">
        <v>0.152</v>
      </c>
      <c r="D321" s="32">
        <f t="shared" si="4"/>
        <v>0.45599999999999996</v>
      </c>
    </row>
    <row r="322" spans="1:4" x14ac:dyDescent="0.2">
      <c r="A322" s="3">
        <v>40133</v>
      </c>
      <c r="B322" s="1">
        <v>2</v>
      </c>
      <c r="C322" s="22">
        <v>0.79879999999999995</v>
      </c>
      <c r="D322" s="32">
        <f t="shared" si="4"/>
        <v>1.5975999999999999</v>
      </c>
    </row>
    <row r="323" spans="1:4" x14ac:dyDescent="0.2">
      <c r="A323" s="3">
        <v>40134</v>
      </c>
      <c r="B323" s="1">
        <v>1</v>
      </c>
      <c r="C323" s="22">
        <v>1.2924</v>
      </c>
      <c r="D323" s="32">
        <f t="shared" si="4"/>
        <v>1.2924</v>
      </c>
    </row>
    <row r="324" spans="1:4" x14ac:dyDescent="0.2">
      <c r="A324" s="3">
        <v>40135</v>
      </c>
      <c r="B324" s="1">
        <v>12</v>
      </c>
      <c r="C324" s="22">
        <v>0.40060000000000001</v>
      </c>
      <c r="D324" s="32">
        <f t="shared" ref="D324:D387" si="5">B324*C324</f>
        <v>4.8071999999999999</v>
      </c>
    </row>
    <row r="325" spans="1:4" x14ac:dyDescent="0.2">
      <c r="A325" s="3">
        <v>40136</v>
      </c>
      <c r="B325" s="1">
        <v>3</v>
      </c>
      <c r="C325" s="22">
        <v>0.45329999999999998</v>
      </c>
      <c r="D325" s="32">
        <f t="shared" si="5"/>
        <v>1.3598999999999999</v>
      </c>
    </row>
    <row r="326" spans="1:4" x14ac:dyDescent="0.2">
      <c r="A326" s="3">
        <v>40137</v>
      </c>
      <c r="B326" s="1">
        <v>7</v>
      </c>
      <c r="C326" s="22">
        <v>0.18060000000000001</v>
      </c>
      <c r="D326" s="32">
        <f t="shared" si="5"/>
        <v>1.2642</v>
      </c>
    </row>
    <row r="327" spans="1:4" x14ac:dyDescent="0.2">
      <c r="A327" s="3">
        <v>40138</v>
      </c>
      <c r="B327" s="1">
        <v>1</v>
      </c>
      <c r="C327" s="22">
        <v>0.74370000000000003</v>
      </c>
      <c r="D327" s="32">
        <f t="shared" si="5"/>
        <v>0.74370000000000003</v>
      </c>
    </row>
    <row r="328" spans="1:4" x14ac:dyDescent="0.2">
      <c r="A328" s="3">
        <v>40139</v>
      </c>
      <c r="B328" s="1">
        <v>1</v>
      </c>
      <c r="C328" s="22">
        <v>0.24879999999999999</v>
      </c>
      <c r="D328" s="32">
        <f t="shared" si="5"/>
        <v>0.24879999999999999</v>
      </c>
    </row>
    <row r="329" spans="1:4" x14ac:dyDescent="0.2">
      <c r="A329" s="3">
        <v>40140</v>
      </c>
      <c r="B329" s="1">
        <v>3</v>
      </c>
      <c r="C329" s="22">
        <v>0.68569999999999998</v>
      </c>
      <c r="D329" s="32">
        <f t="shared" si="5"/>
        <v>2.0571000000000002</v>
      </c>
    </row>
    <row r="330" spans="1:4" x14ac:dyDescent="0.2">
      <c r="A330" s="3">
        <v>40141</v>
      </c>
      <c r="B330" s="1">
        <v>1</v>
      </c>
      <c r="C330" s="22">
        <v>0.68320000000000003</v>
      </c>
      <c r="D330" s="32">
        <f t="shared" si="5"/>
        <v>0.68320000000000003</v>
      </c>
    </row>
    <row r="331" spans="1:4" x14ac:dyDescent="0.2">
      <c r="A331" s="3">
        <v>40142</v>
      </c>
      <c r="B331" s="1">
        <v>9</v>
      </c>
      <c r="C331" s="22">
        <v>3.5129999999999999</v>
      </c>
      <c r="D331" s="32">
        <f t="shared" si="5"/>
        <v>31.616999999999997</v>
      </c>
    </row>
    <row r="332" spans="1:4" x14ac:dyDescent="0.2">
      <c r="A332" s="3">
        <v>40143</v>
      </c>
      <c r="B332" s="1">
        <v>7</v>
      </c>
      <c r="C332" s="22">
        <v>10.626899999999999</v>
      </c>
      <c r="D332" s="32">
        <f t="shared" si="5"/>
        <v>74.388299999999987</v>
      </c>
    </row>
    <row r="333" spans="1:4" x14ac:dyDescent="0.2">
      <c r="A333" s="3">
        <v>40144</v>
      </c>
      <c r="B333" s="1">
        <v>8</v>
      </c>
      <c r="C333" s="22">
        <v>0.91390000000000005</v>
      </c>
      <c r="D333" s="32">
        <f t="shared" si="5"/>
        <v>7.3112000000000004</v>
      </c>
    </row>
    <row r="334" spans="1:4" x14ac:dyDescent="0.2">
      <c r="A334" s="3">
        <v>40145</v>
      </c>
      <c r="B334" s="1">
        <v>5</v>
      </c>
      <c r="C334" s="22">
        <v>2.1332</v>
      </c>
      <c r="D334" s="32">
        <f t="shared" si="5"/>
        <v>10.666</v>
      </c>
    </row>
    <row r="335" spans="1:4" x14ac:dyDescent="0.2">
      <c r="A335" s="3">
        <v>40146</v>
      </c>
      <c r="B335" s="1">
        <v>8</v>
      </c>
      <c r="C335" s="22">
        <v>0.39029999999999998</v>
      </c>
      <c r="D335" s="32">
        <f t="shared" si="5"/>
        <v>3.1223999999999998</v>
      </c>
    </row>
    <row r="336" spans="1:4" x14ac:dyDescent="0.2">
      <c r="A336" s="3">
        <v>40147</v>
      </c>
      <c r="B336" s="1">
        <v>1</v>
      </c>
      <c r="C336" s="22">
        <v>0.23830000000000001</v>
      </c>
      <c r="D336" s="32">
        <f t="shared" si="5"/>
        <v>0.23830000000000001</v>
      </c>
    </row>
    <row r="337" spans="1:4" x14ac:dyDescent="0.2">
      <c r="A337" s="3">
        <v>40148</v>
      </c>
      <c r="B337" s="1">
        <v>4</v>
      </c>
      <c r="C337" s="22">
        <v>2.0047999999999999</v>
      </c>
      <c r="D337" s="32">
        <f t="shared" si="5"/>
        <v>8.0191999999999997</v>
      </c>
    </row>
    <row r="338" spans="1:4" x14ac:dyDescent="0.2">
      <c r="A338" s="3">
        <v>40149</v>
      </c>
      <c r="B338" s="1">
        <v>3</v>
      </c>
      <c r="C338" s="22">
        <v>8.4199999999999997E-2</v>
      </c>
      <c r="D338" s="32">
        <f t="shared" si="5"/>
        <v>0.25259999999999999</v>
      </c>
    </row>
    <row r="339" spans="1:4" x14ac:dyDescent="0.2">
      <c r="A339" s="3">
        <v>40150</v>
      </c>
      <c r="B339" s="1">
        <v>6</v>
      </c>
      <c r="C339" s="22">
        <v>2.0804999999999998</v>
      </c>
      <c r="D339" s="32">
        <f t="shared" si="5"/>
        <v>12.482999999999999</v>
      </c>
    </row>
    <row r="340" spans="1:4" x14ac:dyDescent="0.2">
      <c r="A340" s="3">
        <v>40151</v>
      </c>
      <c r="B340" s="1">
        <v>8</v>
      </c>
      <c r="C340" s="22">
        <v>1.5456000000000001</v>
      </c>
      <c r="D340" s="32">
        <f t="shared" si="5"/>
        <v>12.364800000000001</v>
      </c>
    </row>
    <row r="341" spans="1:4" x14ac:dyDescent="0.2">
      <c r="A341" s="3">
        <v>40152</v>
      </c>
      <c r="B341" s="1">
        <v>3</v>
      </c>
      <c r="C341" s="22">
        <v>2.2187000000000001</v>
      </c>
      <c r="D341" s="32">
        <f t="shared" si="5"/>
        <v>6.6561000000000003</v>
      </c>
    </row>
    <row r="342" spans="1:4" x14ac:dyDescent="0.2">
      <c r="A342" s="3">
        <v>40153</v>
      </c>
      <c r="B342" s="1">
        <v>3</v>
      </c>
      <c r="C342" s="22">
        <v>1.4496</v>
      </c>
      <c r="D342" s="32">
        <f t="shared" si="5"/>
        <v>4.3487999999999998</v>
      </c>
    </row>
    <row r="343" spans="1:4" x14ac:dyDescent="0.2">
      <c r="A343" s="3">
        <v>40154</v>
      </c>
      <c r="B343" s="1">
        <v>1</v>
      </c>
      <c r="C343" s="22">
        <v>0.26569999999999999</v>
      </c>
      <c r="D343" s="32">
        <f t="shared" si="5"/>
        <v>0.26569999999999999</v>
      </c>
    </row>
    <row r="344" spans="1:4" x14ac:dyDescent="0.2">
      <c r="A344" s="3">
        <v>40155</v>
      </c>
      <c r="B344" s="1">
        <v>3</v>
      </c>
      <c r="C344" s="22">
        <v>2.1947999999999999</v>
      </c>
      <c r="D344" s="32">
        <f t="shared" si="5"/>
        <v>6.5843999999999996</v>
      </c>
    </row>
    <row r="345" spans="1:4" x14ac:dyDescent="0.2">
      <c r="A345" s="3">
        <v>40156</v>
      </c>
      <c r="B345" s="1">
        <v>8</v>
      </c>
      <c r="C345" s="22">
        <v>0.49349999999999999</v>
      </c>
      <c r="D345" s="32">
        <f t="shared" si="5"/>
        <v>3.948</v>
      </c>
    </row>
    <row r="346" spans="1:4" x14ac:dyDescent="0.2">
      <c r="A346" s="3">
        <v>40157</v>
      </c>
      <c r="B346" s="1">
        <v>2</v>
      </c>
      <c r="C346" s="22">
        <v>0.2334</v>
      </c>
      <c r="D346" s="32">
        <f t="shared" si="5"/>
        <v>0.46679999999999999</v>
      </c>
    </row>
    <row r="347" spans="1:4" x14ac:dyDescent="0.2">
      <c r="A347" s="3">
        <v>40158</v>
      </c>
      <c r="B347" s="1">
        <v>5</v>
      </c>
      <c r="C347" s="22">
        <v>1.5681</v>
      </c>
      <c r="D347" s="32">
        <f t="shared" si="5"/>
        <v>7.8405000000000005</v>
      </c>
    </row>
    <row r="348" spans="1:4" x14ac:dyDescent="0.2">
      <c r="A348" s="3">
        <v>40159</v>
      </c>
      <c r="B348" s="1">
        <v>6</v>
      </c>
      <c r="C348" s="22">
        <v>0.74580000000000002</v>
      </c>
      <c r="D348" s="32">
        <f t="shared" si="5"/>
        <v>4.4748000000000001</v>
      </c>
    </row>
    <row r="349" spans="1:4" x14ac:dyDescent="0.2">
      <c r="A349" s="3">
        <v>40160</v>
      </c>
      <c r="B349" s="1">
        <v>1</v>
      </c>
      <c r="C349" s="22">
        <v>0.6502</v>
      </c>
      <c r="D349" s="32">
        <f t="shared" si="5"/>
        <v>0.6502</v>
      </c>
    </row>
    <row r="350" spans="1:4" x14ac:dyDescent="0.2">
      <c r="A350" s="3">
        <v>40161</v>
      </c>
      <c r="B350" s="1">
        <v>1</v>
      </c>
      <c r="C350" s="22">
        <v>0.38679999999999998</v>
      </c>
      <c r="D350" s="32">
        <f t="shared" si="5"/>
        <v>0.38679999999999998</v>
      </c>
    </row>
    <row r="351" spans="1:4" x14ac:dyDescent="0.2">
      <c r="A351" s="3">
        <v>40162</v>
      </c>
      <c r="B351" s="1">
        <v>1</v>
      </c>
      <c r="C351" s="22">
        <v>1.1759999999999999</v>
      </c>
      <c r="D351" s="32">
        <f t="shared" si="5"/>
        <v>1.1759999999999999</v>
      </c>
    </row>
    <row r="352" spans="1:4" x14ac:dyDescent="0.2">
      <c r="A352" s="3">
        <v>40163</v>
      </c>
      <c r="B352" s="1">
        <v>4</v>
      </c>
      <c r="C352" s="22">
        <v>0.19650000000000001</v>
      </c>
      <c r="D352" s="32">
        <f t="shared" si="5"/>
        <v>0.78600000000000003</v>
      </c>
    </row>
    <row r="353" spans="1:4" x14ac:dyDescent="0.2">
      <c r="A353" s="3">
        <v>40544</v>
      </c>
      <c r="B353" s="1">
        <v>10</v>
      </c>
      <c r="C353" s="22">
        <v>0.59099999999999997</v>
      </c>
      <c r="D353" s="32">
        <f t="shared" si="5"/>
        <v>5.91</v>
      </c>
    </row>
    <row r="354" spans="1:4" x14ac:dyDescent="0.2">
      <c r="A354" s="3">
        <v>40545</v>
      </c>
      <c r="B354" s="1">
        <v>3</v>
      </c>
      <c r="C354" s="22">
        <v>0.53410000000000002</v>
      </c>
      <c r="D354" s="32">
        <f t="shared" si="5"/>
        <v>1.6023000000000001</v>
      </c>
    </row>
    <row r="355" spans="1:4" x14ac:dyDescent="0.2">
      <c r="A355" s="3">
        <v>40546</v>
      </c>
      <c r="B355" s="1">
        <v>5</v>
      </c>
      <c r="C355" s="22">
        <v>1.0566</v>
      </c>
      <c r="D355" s="32">
        <f t="shared" si="5"/>
        <v>5.2829999999999995</v>
      </c>
    </row>
    <row r="356" spans="1:4" x14ac:dyDescent="0.2">
      <c r="A356" s="3">
        <v>40547</v>
      </c>
      <c r="B356" s="1">
        <v>5</v>
      </c>
      <c r="C356" s="22">
        <v>1.9008</v>
      </c>
      <c r="D356" s="32">
        <f t="shared" si="5"/>
        <v>9.5039999999999996</v>
      </c>
    </row>
    <row r="357" spans="1:4" x14ac:dyDescent="0.2">
      <c r="A357" s="3">
        <v>40548</v>
      </c>
      <c r="B357" s="1">
        <v>6</v>
      </c>
      <c r="C357" s="22">
        <v>2.4942000000000002</v>
      </c>
      <c r="D357" s="32">
        <f t="shared" si="5"/>
        <v>14.965200000000001</v>
      </c>
    </row>
    <row r="358" spans="1:4" x14ac:dyDescent="0.2">
      <c r="A358" s="3">
        <v>40549</v>
      </c>
      <c r="B358" s="1">
        <v>1</v>
      </c>
      <c r="C358" s="22">
        <v>0.70640000000000003</v>
      </c>
      <c r="D358" s="32">
        <f t="shared" si="5"/>
        <v>0.70640000000000003</v>
      </c>
    </row>
    <row r="359" spans="1:4" x14ac:dyDescent="0.2">
      <c r="A359" s="3">
        <v>40550</v>
      </c>
      <c r="B359" s="1">
        <v>5</v>
      </c>
      <c r="C359" s="22">
        <v>0.87929999999999997</v>
      </c>
      <c r="D359" s="32">
        <f t="shared" si="5"/>
        <v>4.3964999999999996</v>
      </c>
    </row>
    <row r="360" spans="1:4" x14ac:dyDescent="0.2">
      <c r="A360" s="3">
        <v>40551</v>
      </c>
      <c r="B360" s="1">
        <v>3</v>
      </c>
      <c r="C360" s="22">
        <v>2.8936999999999999</v>
      </c>
      <c r="D360" s="32">
        <f t="shared" si="5"/>
        <v>8.6811000000000007</v>
      </c>
    </row>
    <row r="361" spans="1:4" x14ac:dyDescent="0.2">
      <c r="A361" s="3">
        <v>40552</v>
      </c>
      <c r="B361" s="1">
        <v>1</v>
      </c>
      <c r="C361" s="22">
        <v>2.8656999999999999</v>
      </c>
      <c r="D361" s="32">
        <f t="shared" si="5"/>
        <v>2.8656999999999999</v>
      </c>
    </row>
    <row r="362" spans="1:4" x14ac:dyDescent="0.2">
      <c r="A362" s="3">
        <v>40553</v>
      </c>
      <c r="B362" s="1">
        <v>3</v>
      </c>
      <c r="C362" s="22">
        <v>0.78180000000000005</v>
      </c>
      <c r="D362" s="32">
        <f t="shared" si="5"/>
        <v>2.3454000000000002</v>
      </c>
    </row>
    <row r="363" spans="1:4" x14ac:dyDescent="0.2">
      <c r="A363" s="3">
        <v>40554</v>
      </c>
      <c r="B363" s="1">
        <v>5</v>
      </c>
      <c r="C363" s="22">
        <v>0.37709999999999999</v>
      </c>
      <c r="D363" s="32">
        <f t="shared" si="5"/>
        <v>1.8855</v>
      </c>
    </row>
    <row r="364" spans="1:4" x14ac:dyDescent="0.2">
      <c r="A364" s="3">
        <v>40555</v>
      </c>
      <c r="B364" s="1">
        <v>6</v>
      </c>
      <c r="C364" s="22">
        <v>0.39429999999999998</v>
      </c>
      <c r="D364" s="32">
        <f t="shared" si="5"/>
        <v>2.3658000000000001</v>
      </c>
    </row>
    <row r="365" spans="1:4" x14ac:dyDescent="0.2">
      <c r="A365" s="3">
        <v>40556</v>
      </c>
      <c r="B365" s="1">
        <v>1</v>
      </c>
      <c r="C365" s="22">
        <v>2.1494</v>
      </c>
      <c r="D365" s="32">
        <f t="shared" si="5"/>
        <v>2.1494</v>
      </c>
    </row>
    <row r="366" spans="1:4" x14ac:dyDescent="0.2">
      <c r="A366" s="3">
        <v>40557</v>
      </c>
      <c r="B366" s="1">
        <v>6</v>
      </c>
      <c r="C366" s="22">
        <v>1.1741999999999999</v>
      </c>
      <c r="D366" s="32">
        <f t="shared" si="5"/>
        <v>7.0451999999999995</v>
      </c>
    </row>
    <row r="367" spans="1:4" x14ac:dyDescent="0.2">
      <c r="A367" s="3">
        <v>40558</v>
      </c>
      <c r="B367" s="1">
        <v>4</v>
      </c>
      <c r="C367" s="22">
        <v>2.8130000000000002</v>
      </c>
      <c r="D367" s="32">
        <f t="shared" si="5"/>
        <v>11.252000000000001</v>
      </c>
    </row>
    <row r="368" spans="1:4" x14ac:dyDescent="0.2">
      <c r="A368" s="3">
        <v>40559</v>
      </c>
      <c r="B368" s="1">
        <v>2</v>
      </c>
      <c r="C368" s="22">
        <v>2.4411</v>
      </c>
      <c r="D368" s="32">
        <f t="shared" si="5"/>
        <v>4.8822000000000001</v>
      </c>
    </row>
    <row r="369" spans="1:4" x14ac:dyDescent="0.2">
      <c r="A369" s="3">
        <v>40560</v>
      </c>
      <c r="B369" s="1">
        <v>6</v>
      </c>
      <c r="C369" s="22">
        <v>1.0142</v>
      </c>
      <c r="D369" s="32">
        <f t="shared" si="5"/>
        <v>6.0852000000000004</v>
      </c>
    </row>
    <row r="370" spans="1:4" x14ac:dyDescent="0.2">
      <c r="A370" s="3">
        <v>40561</v>
      </c>
      <c r="B370" s="1">
        <v>12</v>
      </c>
      <c r="C370" s="22">
        <v>3.2134999999999998</v>
      </c>
      <c r="D370" s="32">
        <f t="shared" si="5"/>
        <v>38.561999999999998</v>
      </c>
    </row>
    <row r="371" spans="1:4" x14ac:dyDescent="0.2">
      <c r="A371" s="3">
        <v>40562</v>
      </c>
      <c r="B371" s="1">
        <v>1</v>
      </c>
      <c r="C371" s="22">
        <v>0.89339999999999997</v>
      </c>
      <c r="D371" s="32">
        <f t="shared" si="5"/>
        <v>0.89339999999999997</v>
      </c>
    </row>
    <row r="372" spans="1:4" x14ac:dyDescent="0.2">
      <c r="A372" s="3">
        <v>40563</v>
      </c>
      <c r="B372" s="1">
        <v>11</v>
      </c>
      <c r="C372" s="22">
        <v>1.4157</v>
      </c>
      <c r="D372" s="32">
        <f t="shared" si="5"/>
        <v>15.572699999999999</v>
      </c>
    </row>
    <row r="373" spans="1:4" x14ac:dyDescent="0.2">
      <c r="A373" s="3">
        <v>40564</v>
      </c>
      <c r="B373" s="1">
        <v>2</v>
      </c>
      <c r="C373" s="22">
        <v>0.82569999999999999</v>
      </c>
      <c r="D373" s="32">
        <f t="shared" si="5"/>
        <v>1.6514</v>
      </c>
    </row>
    <row r="374" spans="1:4" x14ac:dyDescent="0.2">
      <c r="A374" s="3">
        <v>40565</v>
      </c>
      <c r="B374" s="1">
        <v>4</v>
      </c>
      <c r="C374" s="22">
        <v>0.81599999999999995</v>
      </c>
      <c r="D374" s="32">
        <f t="shared" si="5"/>
        <v>3.2639999999999998</v>
      </c>
    </row>
    <row r="375" spans="1:4" x14ac:dyDescent="0.2">
      <c r="A375" s="3">
        <v>40566</v>
      </c>
      <c r="B375" s="1">
        <v>3</v>
      </c>
      <c r="C375" s="22">
        <v>1.0336000000000001</v>
      </c>
      <c r="D375" s="32">
        <f t="shared" si="5"/>
        <v>3.1008000000000004</v>
      </c>
    </row>
    <row r="376" spans="1:4" x14ac:dyDescent="0.2">
      <c r="A376" s="3">
        <v>40567</v>
      </c>
      <c r="B376" s="1">
        <v>2</v>
      </c>
      <c r="C376" s="22">
        <v>2.7784</v>
      </c>
      <c r="D376" s="32">
        <f t="shared" si="5"/>
        <v>5.5568</v>
      </c>
    </row>
    <row r="377" spans="1:4" x14ac:dyDescent="0.2">
      <c r="A377" s="3">
        <v>40568</v>
      </c>
      <c r="B377" s="1">
        <v>1</v>
      </c>
      <c r="C377" s="22">
        <v>1.8057000000000001</v>
      </c>
      <c r="D377" s="32">
        <f t="shared" si="5"/>
        <v>1.8057000000000001</v>
      </c>
    </row>
    <row r="378" spans="1:4" x14ac:dyDescent="0.2">
      <c r="A378" s="3">
        <v>40569</v>
      </c>
      <c r="B378" s="1">
        <v>3</v>
      </c>
      <c r="C378" s="22">
        <v>0.74690000000000001</v>
      </c>
      <c r="D378" s="32">
        <f t="shared" si="5"/>
        <v>2.2406999999999999</v>
      </c>
    </row>
    <row r="379" spans="1:4" x14ac:dyDescent="0.2">
      <c r="A379" s="3">
        <v>40570</v>
      </c>
      <c r="B379" s="1">
        <v>6</v>
      </c>
      <c r="C379" s="22">
        <v>5.9253</v>
      </c>
      <c r="D379" s="32">
        <f t="shared" si="5"/>
        <v>35.5518</v>
      </c>
    </row>
    <row r="380" spans="1:4" x14ac:dyDescent="0.2">
      <c r="A380" s="3">
        <v>40571</v>
      </c>
      <c r="B380" s="1">
        <v>5</v>
      </c>
      <c r="C380" s="22">
        <v>1.7896000000000001</v>
      </c>
      <c r="D380" s="32">
        <f t="shared" si="5"/>
        <v>8.9480000000000004</v>
      </c>
    </row>
    <row r="381" spans="1:4" x14ac:dyDescent="0.2">
      <c r="A381" s="3">
        <v>40572</v>
      </c>
      <c r="B381" s="1">
        <v>4</v>
      </c>
      <c r="C381" s="22">
        <v>0.8246</v>
      </c>
      <c r="D381" s="32">
        <f t="shared" si="5"/>
        <v>3.2984</v>
      </c>
    </row>
    <row r="382" spans="1:4" x14ac:dyDescent="0.2">
      <c r="A382" s="3">
        <v>40573</v>
      </c>
      <c r="B382" s="1">
        <v>3</v>
      </c>
      <c r="C382" s="22">
        <v>0.82509999999999994</v>
      </c>
      <c r="D382" s="32">
        <f t="shared" si="5"/>
        <v>2.4752999999999998</v>
      </c>
    </row>
    <row r="383" spans="1:4" x14ac:dyDescent="0.2">
      <c r="A383" s="3">
        <v>40574</v>
      </c>
      <c r="B383" s="1">
        <v>4</v>
      </c>
      <c r="C383" s="22">
        <v>9.5061999999999998</v>
      </c>
      <c r="D383" s="32">
        <f t="shared" si="5"/>
        <v>38.024799999999999</v>
      </c>
    </row>
    <row r="384" spans="1:4" x14ac:dyDescent="0.2">
      <c r="A384" s="3">
        <v>40575</v>
      </c>
      <c r="B384" s="1">
        <v>3</v>
      </c>
      <c r="C384" s="22">
        <v>2.1417000000000002</v>
      </c>
      <c r="D384" s="32">
        <f t="shared" si="5"/>
        <v>6.4251000000000005</v>
      </c>
    </row>
    <row r="385" spans="1:4" x14ac:dyDescent="0.2">
      <c r="A385" s="3">
        <v>40576</v>
      </c>
      <c r="B385" s="1">
        <v>1</v>
      </c>
      <c r="C385" s="22">
        <v>0.63129999999999997</v>
      </c>
      <c r="D385" s="32">
        <f t="shared" si="5"/>
        <v>0.63129999999999997</v>
      </c>
    </row>
    <row r="386" spans="1:4" x14ac:dyDescent="0.2">
      <c r="A386" s="3">
        <v>40577</v>
      </c>
      <c r="B386" s="1">
        <v>9</v>
      </c>
      <c r="C386" s="22">
        <v>9.0823999999999998</v>
      </c>
      <c r="D386" s="32">
        <f t="shared" si="5"/>
        <v>81.741600000000005</v>
      </c>
    </row>
    <row r="387" spans="1:4" x14ac:dyDescent="0.2">
      <c r="A387" s="3">
        <v>40578</v>
      </c>
      <c r="B387" s="1">
        <v>4</v>
      </c>
      <c r="C387" s="22">
        <v>1.6005</v>
      </c>
      <c r="D387" s="32">
        <f t="shared" si="5"/>
        <v>6.4020000000000001</v>
      </c>
    </row>
    <row r="388" spans="1:4" x14ac:dyDescent="0.2">
      <c r="A388" s="3">
        <v>40579</v>
      </c>
      <c r="B388" s="1">
        <v>6</v>
      </c>
      <c r="C388" s="22">
        <v>1.1025</v>
      </c>
      <c r="D388" s="32">
        <f t="shared" ref="D388:D451" si="6">B388*C388</f>
        <v>6.6150000000000002</v>
      </c>
    </row>
    <row r="389" spans="1:4" x14ac:dyDescent="0.2">
      <c r="A389" s="3">
        <v>40580</v>
      </c>
      <c r="B389" s="1">
        <v>5</v>
      </c>
      <c r="C389" s="22">
        <v>1.3161</v>
      </c>
      <c r="D389" s="32">
        <f t="shared" si="6"/>
        <v>6.5805000000000007</v>
      </c>
    </row>
    <row r="390" spans="1:4" x14ac:dyDescent="0.2">
      <c r="A390" s="3">
        <v>40581</v>
      </c>
      <c r="B390" s="1">
        <v>4</v>
      </c>
      <c r="C390" s="22">
        <v>2.6328999999999998</v>
      </c>
      <c r="D390" s="32">
        <f t="shared" si="6"/>
        <v>10.531599999999999</v>
      </c>
    </row>
    <row r="391" spans="1:4" x14ac:dyDescent="0.2">
      <c r="A391" s="3">
        <v>40582</v>
      </c>
      <c r="B391" s="1">
        <v>7</v>
      </c>
      <c r="C391" s="22">
        <v>3.5891000000000002</v>
      </c>
      <c r="D391" s="32">
        <f t="shared" si="6"/>
        <v>25.123699999999999</v>
      </c>
    </row>
    <row r="392" spans="1:4" x14ac:dyDescent="0.2">
      <c r="A392" s="3">
        <v>40583</v>
      </c>
      <c r="B392" s="1">
        <v>9</v>
      </c>
      <c r="C392" s="22">
        <v>1.7527999999999999</v>
      </c>
      <c r="D392" s="32">
        <f t="shared" si="6"/>
        <v>15.7752</v>
      </c>
    </row>
    <row r="393" spans="1:4" x14ac:dyDescent="0.2">
      <c r="A393" s="3">
        <v>40584</v>
      </c>
      <c r="B393" s="1">
        <v>1</v>
      </c>
      <c r="C393" s="22">
        <v>4.6551</v>
      </c>
      <c r="D393" s="32">
        <f t="shared" si="6"/>
        <v>4.6551</v>
      </c>
    </row>
    <row r="394" spans="1:4" x14ac:dyDescent="0.2">
      <c r="A394" s="3">
        <v>40585</v>
      </c>
      <c r="B394" s="1">
        <v>12</v>
      </c>
      <c r="C394" s="22">
        <v>1.5762</v>
      </c>
      <c r="D394" s="32">
        <f t="shared" si="6"/>
        <v>18.914400000000001</v>
      </c>
    </row>
    <row r="395" spans="1:4" x14ac:dyDescent="0.2">
      <c r="A395" s="3">
        <v>40586</v>
      </c>
      <c r="B395" s="1">
        <v>3</v>
      </c>
      <c r="C395" s="22">
        <v>0.86519999999999997</v>
      </c>
      <c r="D395" s="32">
        <f t="shared" si="6"/>
        <v>2.5956000000000001</v>
      </c>
    </row>
    <row r="396" spans="1:4" x14ac:dyDescent="0.2">
      <c r="A396" s="3">
        <v>40587</v>
      </c>
      <c r="B396" s="1">
        <v>3</v>
      </c>
      <c r="C396" s="22">
        <v>0.42920000000000003</v>
      </c>
      <c r="D396" s="32">
        <f t="shared" si="6"/>
        <v>1.2876000000000001</v>
      </c>
    </row>
    <row r="397" spans="1:4" x14ac:dyDescent="0.2">
      <c r="A397" s="3">
        <v>40588</v>
      </c>
      <c r="B397" s="1">
        <v>2</v>
      </c>
      <c r="C397" s="22">
        <v>0.87560000000000004</v>
      </c>
      <c r="D397" s="32">
        <f t="shared" si="6"/>
        <v>1.7512000000000001</v>
      </c>
    </row>
    <row r="398" spans="1:4" x14ac:dyDescent="0.2">
      <c r="A398" s="3">
        <v>40589</v>
      </c>
      <c r="B398" s="1">
        <v>6</v>
      </c>
      <c r="C398" s="22">
        <v>0.89039999999999997</v>
      </c>
      <c r="D398" s="32">
        <f t="shared" si="6"/>
        <v>5.3423999999999996</v>
      </c>
    </row>
    <row r="399" spans="1:4" x14ac:dyDescent="0.2">
      <c r="A399" s="3">
        <v>40590</v>
      </c>
      <c r="B399" s="1">
        <v>10</v>
      </c>
      <c r="C399" s="22">
        <v>1.8532</v>
      </c>
      <c r="D399" s="32">
        <f t="shared" si="6"/>
        <v>18.532</v>
      </c>
    </row>
    <row r="400" spans="1:4" x14ac:dyDescent="0.2">
      <c r="A400" s="3">
        <v>40591</v>
      </c>
      <c r="B400" s="1">
        <v>5</v>
      </c>
      <c r="C400" s="22">
        <v>1.6732</v>
      </c>
      <c r="D400" s="32">
        <f t="shared" si="6"/>
        <v>8.3659999999999997</v>
      </c>
    </row>
    <row r="401" spans="1:4" x14ac:dyDescent="0.2">
      <c r="A401" s="3">
        <v>40592</v>
      </c>
      <c r="B401" s="1">
        <v>6</v>
      </c>
      <c r="C401" s="22">
        <v>3.0695999999999999</v>
      </c>
      <c r="D401" s="32">
        <f t="shared" si="6"/>
        <v>18.4176</v>
      </c>
    </row>
    <row r="402" spans="1:4" x14ac:dyDescent="0.2">
      <c r="A402" s="3">
        <v>40593</v>
      </c>
      <c r="B402" s="1">
        <v>1</v>
      </c>
      <c r="C402" s="22">
        <v>1.0657000000000001</v>
      </c>
      <c r="D402" s="32">
        <f t="shared" si="6"/>
        <v>1.0657000000000001</v>
      </c>
    </row>
    <row r="403" spans="1:4" x14ac:dyDescent="0.2">
      <c r="A403" s="3">
        <v>40594</v>
      </c>
      <c r="B403" s="1">
        <v>1</v>
      </c>
      <c r="C403" s="22">
        <v>1.8380000000000001</v>
      </c>
      <c r="D403" s="32">
        <f t="shared" si="6"/>
        <v>1.8380000000000001</v>
      </c>
    </row>
    <row r="404" spans="1:4" x14ac:dyDescent="0.2">
      <c r="A404" s="3">
        <v>40595</v>
      </c>
      <c r="B404" s="1">
        <v>5</v>
      </c>
      <c r="C404" s="22">
        <v>1.5105</v>
      </c>
      <c r="D404" s="32">
        <f t="shared" si="6"/>
        <v>7.5525000000000002</v>
      </c>
    </row>
    <row r="405" spans="1:4" x14ac:dyDescent="0.2">
      <c r="A405" s="3">
        <v>40596</v>
      </c>
      <c r="B405" s="1">
        <v>5</v>
      </c>
      <c r="C405" s="22">
        <v>1.6335</v>
      </c>
      <c r="D405" s="32">
        <f t="shared" si="6"/>
        <v>8.1675000000000004</v>
      </c>
    </row>
    <row r="406" spans="1:4" x14ac:dyDescent="0.2">
      <c r="A406" s="3">
        <v>40597</v>
      </c>
      <c r="B406" s="1">
        <v>1</v>
      </c>
      <c r="C406" s="22">
        <v>2.6173999999999999</v>
      </c>
      <c r="D406" s="32">
        <f t="shared" si="6"/>
        <v>2.6173999999999999</v>
      </c>
    </row>
    <row r="407" spans="1:4" x14ac:dyDescent="0.2">
      <c r="A407" s="3">
        <v>40598</v>
      </c>
      <c r="B407" s="1">
        <v>9</v>
      </c>
      <c r="C407" s="22">
        <v>2.1417000000000002</v>
      </c>
      <c r="D407" s="32">
        <f t="shared" si="6"/>
        <v>19.275300000000001</v>
      </c>
    </row>
    <row r="408" spans="1:4" x14ac:dyDescent="0.2">
      <c r="A408" s="3">
        <v>40599</v>
      </c>
      <c r="B408" s="1">
        <v>7</v>
      </c>
      <c r="C408" s="22">
        <v>7.3845000000000001</v>
      </c>
      <c r="D408" s="32">
        <f t="shared" si="6"/>
        <v>51.691499999999998</v>
      </c>
    </row>
    <row r="409" spans="1:4" x14ac:dyDescent="0.2">
      <c r="A409" s="3">
        <v>40600</v>
      </c>
      <c r="B409" s="1">
        <v>3</v>
      </c>
      <c r="C409" s="22">
        <v>0.90539999999999998</v>
      </c>
      <c r="D409" s="32">
        <f t="shared" si="6"/>
        <v>2.7161999999999997</v>
      </c>
    </row>
    <row r="410" spans="1:4" x14ac:dyDescent="0.2">
      <c r="A410" s="3">
        <v>40601</v>
      </c>
      <c r="B410" s="1">
        <v>1</v>
      </c>
      <c r="C410" s="22">
        <v>1.2436</v>
      </c>
      <c r="D410" s="32">
        <f t="shared" si="6"/>
        <v>1.2436</v>
      </c>
    </row>
    <row r="411" spans="1:4" x14ac:dyDescent="0.2">
      <c r="A411" s="3">
        <v>40602</v>
      </c>
      <c r="B411" s="1">
        <v>1</v>
      </c>
      <c r="C411" s="22">
        <v>0.14230000000000001</v>
      </c>
      <c r="D411" s="32">
        <f t="shared" si="6"/>
        <v>0.14230000000000001</v>
      </c>
    </row>
    <row r="412" spans="1:4" x14ac:dyDescent="0.2">
      <c r="A412" s="3">
        <v>40603</v>
      </c>
      <c r="B412" s="1">
        <v>5</v>
      </c>
      <c r="C412" s="22">
        <v>0.65069999999999995</v>
      </c>
      <c r="D412" s="32">
        <f t="shared" si="6"/>
        <v>3.2534999999999998</v>
      </c>
    </row>
    <row r="413" spans="1:4" x14ac:dyDescent="0.2">
      <c r="A413" s="3">
        <v>40604</v>
      </c>
      <c r="B413" s="1">
        <v>8</v>
      </c>
      <c r="C413" s="22">
        <v>9.8842999999999996</v>
      </c>
      <c r="D413" s="32">
        <f t="shared" si="6"/>
        <v>79.074399999999997</v>
      </c>
    </row>
    <row r="414" spans="1:4" x14ac:dyDescent="0.2">
      <c r="A414" s="3">
        <v>40605</v>
      </c>
      <c r="B414" s="1">
        <v>4</v>
      </c>
      <c r="C414" s="22">
        <v>2.9426000000000001</v>
      </c>
      <c r="D414" s="32">
        <f t="shared" si="6"/>
        <v>11.7704</v>
      </c>
    </row>
    <row r="415" spans="1:4" x14ac:dyDescent="0.2">
      <c r="A415" s="3">
        <v>40606</v>
      </c>
      <c r="B415" s="1">
        <v>9</v>
      </c>
      <c r="C415" s="22">
        <v>8.1529000000000007</v>
      </c>
      <c r="D415" s="32">
        <f t="shared" si="6"/>
        <v>73.376100000000008</v>
      </c>
    </row>
    <row r="416" spans="1:4" x14ac:dyDescent="0.2">
      <c r="A416" s="3">
        <v>40607</v>
      </c>
      <c r="B416" s="1">
        <v>3</v>
      </c>
      <c r="C416" s="22">
        <v>0.64039999999999997</v>
      </c>
      <c r="D416" s="32">
        <f t="shared" si="6"/>
        <v>1.9211999999999998</v>
      </c>
    </row>
    <row r="417" spans="1:4" x14ac:dyDescent="0.2">
      <c r="A417" s="3">
        <v>40608</v>
      </c>
      <c r="B417" s="1">
        <v>9</v>
      </c>
      <c r="C417" s="22">
        <v>0.58750000000000002</v>
      </c>
      <c r="D417" s="32">
        <f t="shared" si="6"/>
        <v>5.2875000000000005</v>
      </c>
    </row>
    <row r="418" spans="1:4" x14ac:dyDescent="0.2">
      <c r="A418" s="3">
        <v>40609</v>
      </c>
      <c r="B418" s="1">
        <v>5</v>
      </c>
      <c r="C418" s="22">
        <v>0.89400000000000002</v>
      </c>
      <c r="D418" s="32">
        <f t="shared" si="6"/>
        <v>4.47</v>
      </c>
    </row>
    <row r="419" spans="1:4" x14ac:dyDescent="0.2">
      <c r="A419" s="3">
        <v>40610</v>
      </c>
      <c r="B419" s="1">
        <v>1</v>
      </c>
      <c r="C419" s="22">
        <v>17.312899999999999</v>
      </c>
      <c r="D419" s="32">
        <f t="shared" si="6"/>
        <v>17.312899999999999</v>
      </c>
    </row>
    <row r="420" spans="1:4" x14ac:dyDescent="0.2">
      <c r="A420" s="3">
        <v>40611</v>
      </c>
      <c r="B420" s="1">
        <v>4</v>
      </c>
      <c r="C420" s="22">
        <v>7.992</v>
      </c>
      <c r="D420" s="32">
        <f t="shared" si="6"/>
        <v>31.968</v>
      </c>
    </row>
    <row r="421" spans="1:4" x14ac:dyDescent="0.2">
      <c r="A421" s="3">
        <v>40612</v>
      </c>
      <c r="B421" s="1">
        <v>1</v>
      </c>
      <c r="C421" s="22">
        <v>0.77039999999999997</v>
      </c>
      <c r="D421" s="32">
        <f t="shared" si="6"/>
        <v>0.77039999999999997</v>
      </c>
    </row>
    <row r="422" spans="1:4" x14ac:dyDescent="0.2">
      <c r="A422" s="3">
        <v>40613</v>
      </c>
      <c r="B422" s="1">
        <v>2</v>
      </c>
      <c r="C422" s="22">
        <v>0.54400000000000004</v>
      </c>
      <c r="D422" s="32">
        <f t="shared" si="6"/>
        <v>1.0880000000000001</v>
      </c>
    </row>
    <row r="423" spans="1:4" x14ac:dyDescent="0.2">
      <c r="A423" s="3">
        <v>40614</v>
      </c>
      <c r="B423" s="1">
        <v>6</v>
      </c>
      <c r="C423" s="22">
        <v>3</v>
      </c>
      <c r="D423" s="32">
        <f t="shared" si="6"/>
        <v>18</v>
      </c>
    </row>
    <row r="424" spans="1:4" x14ac:dyDescent="0.2">
      <c r="A424" s="3">
        <v>40615</v>
      </c>
      <c r="B424" s="1">
        <v>6</v>
      </c>
      <c r="C424" s="22">
        <v>0.91879999999999995</v>
      </c>
      <c r="D424" s="32">
        <f t="shared" si="6"/>
        <v>5.5127999999999995</v>
      </c>
    </row>
    <row r="425" spans="1:4" x14ac:dyDescent="0.2">
      <c r="A425" s="3">
        <v>40616</v>
      </c>
      <c r="B425" s="1">
        <v>8</v>
      </c>
      <c r="C425" s="22">
        <v>0.71779999999999999</v>
      </c>
      <c r="D425" s="32">
        <f t="shared" si="6"/>
        <v>5.7423999999999999</v>
      </c>
    </row>
    <row r="426" spans="1:4" x14ac:dyDescent="0.2">
      <c r="A426" s="3">
        <v>40617</v>
      </c>
      <c r="B426" s="1">
        <v>3</v>
      </c>
      <c r="C426" s="22">
        <v>1.0494000000000001</v>
      </c>
      <c r="D426" s="32">
        <f t="shared" si="6"/>
        <v>3.1482000000000001</v>
      </c>
    </row>
    <row r="427" spans="1:4" x14ac:dyDescent="0.2">
      <c r="A427" s="3">
        <v>40618</v>
      </c>
      <c r="B427" s="1">
        <v>6</v>
      </c>
      <c r="C427" s="22">
        <v>1.3980999999999999</v>
      </c>
      <c r="D427" s="32">
        <f t="shared" si="6"/>
        <v>8.3886000000000003</v>
      </c>
    </row>
    <row r="428" spans="1:4" x14ac:dyDescent="0.2">
      <c r="A428" s="3">
        <v>40619</v>
      </c>
      <c r="B428" s="1">
        <v>4</v>
      </c>
      <c r="C428" s="22">
        <v>0.378</v>
      </c>
      <c r="D428" s="32">
        <f t="shared" si="6"/>
        <v>1.512</v>
      </c>
    </row>
    <row r="429" spans="1:4" x14ac:dyDescent="0.2">
      <c r="A429" s="3">
        <v>40620</v>
      </c>
      <c r="B429" s="1">
        <v>6</v>
      </c>
      <c r="C429" s="22">
        <v>0.37240000000000001</v>
      </c>
      <c r="D429" s="32">
        <f t="shared" si="6"/>
        <v>2.2343999999999999</v>
      </c>
    </row>
    <row r="430" spans="1:4" x14ac:dyDescent="0.2">
      <c r="A430" s="3">
        <v>40621</v>
      </c>
      <c r="B430" s="1">
        <v>6</v>
      </c>
      <c r="C430" s="22">
        <v>0.36330000000000001</v>
      </c>
      <c r="D430" s="32">
        <f t="shared" si="6"/>
        <v>2.1798000000000002</v>
      </c>
    </row>
    <row r="431" spans="1:4" x14ac:dyDescent="0.2">
      <c r="A431" s="3">
        <v>40622</v>
      </c>
      <c r="B431" s="1">
        <v>7</v>
      </c>
      <c r="C431" s="22">
        <v>0.53700000000000003</v>
      </c>
      <c r="D431" s="32">
        <f t="shared" si="6"/>
        <v>3.7590000000000003</v>
      </c>
    </row>
    <row r="432" spans="1:4" x14ac:dyDescent="0.2">
      <c r="A432" s="3">
        <v>40623</v>
      </c>
      <c r="B432" s="1">
        <v>5</v>
      </c>
      <c r="C432" s="22">
        <v>0.57199999999999995</v>
      </c>
      <c r="D432" s="32">
        <f t="shared" si="6"/>
        <v>2.86</v>
      </c>
    </row>
    <row r="433" spans="1:4" x14ac:dyDescent="0.2">
      <c r="A433" s="3">
        <v>40624</v>
      </c>
      <c r="B433" s="1">
        <v>7</v>
      </c>
      <c r="C433" s="22">
        <v>1.5581</v>
      </c>
      <c r="D433" s="32">
        <f t="shared" si="6"/>
        <v>10.906700000000001</v>
      </c>
    </row>
    <row r="434" spans="1:4" x14ac:dyDescent="0.2">
      <c r="A434" s="3">
        <v>40625</v>
      </c>
      <c r="B434" s="1">
        <v>4</v>
      </c>
      <c r="C434" s="22">
        <v>0.4264</v>
      </c>
      <c r="D434" s="32">
        <f t="shared" si="6"/>
        <v>1.7056</v>
      </c>
    </row>
    <row r="435" spans="1:4" x14ac:dyDescent="0.2">
      <c r="A435" s="3">
        <v>40626</v>
      </c>
      <c r="B435" s="1">
        <v>6</v>
      </c>
      <c r="C435" s="22">
        <v>1.0874999999999999</v>
      </c>
      <c r="D435" s="32">
        <f t="shared" si="6"/>
        <v>6.5249999999999995</v>
      </c>
    </row>
    <row r="436" spans="1:4" x14ac:dyDescent="0.2">
      <c r="A436" s="3">
        <v>40627</v>
      </c>
      <c r="B436" s="1">
        <v>5</v>
      </c>
      <c r="C436" s="22">
        <v>1.2604</v>
      </c>
      <c r="D436" s="32">
        <f t="shared" si="6"/>
        <v>6.3019999999999996</v>
      </c>
    </row>
    <row r="437" spans="1:4" x14ac:dyDescent="0.2">
      <c r="A437" s="3">
        <v>40628</v>
      </c>
      <c r="B437" s="1">
        <v>3</v>
      </c>
      <c r="C437" s="22">
        <v>0.71289999999999998</v>
      </c>
      <c r="D437" s="32">
        <f t="shared" si="6"/>
        <v>2.1387</v>
      </c>
    </row>
    <row r="438" spans="1:4" x14ac:dyDescent="0.2">
      <c r="A438" s="3">
        <v>40629</v>
      </c>
      <c r="B438" s="1">
        <v>3</v>
      </c>
      <c r="C438" s="22">
        <v>1.1116999999999999</v>
      </c>
      <c r="D438" s="32">
        <f t="shared" si="6"/>
        <v>3.3350999999999997</v>
      </c>
    </row>
    <row r="439" spans="1:4" x14ac:dyDescent="0.2">
      <c r="A439" s="3">
        <v>40630</v>
      </c>
      <c r="B439" s="1">
        <v>2</v>
      </c>
      <c r="C439" s="22">
        <v>0.57420000000000004</v>
      </c>
      <c r="D439" s="32">
        <f t="shared" si="6"/>
        <v>1.1484000000000001</v>
      </c>
    </row>
    <row r="440" spans="1:4" x14ac:dyDescent="0.2">
      <c r="A440" s="3">
        <v>40631</v>
      </c>
      <c r="B440" s="1">
        <v>1</v>
      </c>
      <c r="C440" s="22">
        <v>0.54120000000000001</v>
      </c>
      <c r="D440" s="32">
        <f t="shared" si="6"/>
        <v>0.54120000000000001</v>
      </c>
    </row>
    <row r="441" spans="1:4" x14ac:dyDescent="0.2">
      <c r="A441" s="3">
        <v>40632</v>
      </c>
      <c r="B441" s="1">
        <v>10</v>
      </c>
      <c r="C441" s="22">
        <v>2.4863</v>
      </c>
      <c r="D441" s="32">
        <f t="shared" si="6"/>
        <v>24.863</v>
      </c>
    </row>
    <row r="442" spans="1:4" x14ac:dyDescent="0.2">
      <c r="A442" s="3">
        <v>40633</v>
      </c>
      <c r="B442" s="1">
        <v>2</v>
      </c>
      <c r="C442" s="22">
        <v>1.4291</v>
      </c>
      <c r="D442" s="32">
        <f t="shared" si="6"/>
        <v>2.8582000000000001</v>
      </c>
    </row>
    <row r="443" spans="1:4" x14ac:dyDescent="0.2">
      <c r="A443" s="3">
        <v>40634</v>
      </c>
      <c r="B443" s="1">
        <v>4</v>
      </c>
      <c r="C443" s="22">
        <v>0.52639999999999998</v>
      </c>
      <c r="D443" s="32">
        <f t="shared" si="6"/>
        <v>2.1055999999999999</v>
      </c>
    </row>
    <row r="444" spans="1:4" x14ac:dyDescent="0.2">
      <c r="A444" s="3">
        <v>40635</v>
      </c>
      <c r="B444" s="1">
        <v>1</v>
      </c>
      <c r="C444" s="22">
        <v>1.1908000000000001</v>
      </c>
      <c r="D444" s="32">
        <f t="shared" si="6"/>
        <v>1.1908000000000001</v>
      </c>
    </row>
    <row r="445" spans="1:4" x14ac:dyDescent="0.2">
      <c r="A445" s="3">
        <v>40636</v>
      </c>
      <c r="B445" s="1">
        <v>9</v>
      </c>
      <c r="C445" s="22">
        <v>0.62929999999999997</v>
      </c>
      <c r="D445" s="32">
        <f t="shared" si="6"/>
        <v>5.6636999999999995</v>
      </c>
    </row>
    <row r="446" spans="1:4" x14ac:dyDescent="0.2">
      <c r="A446" s="3">
        <v>40637</v>
      </c>
      <c r="B446" s="1">
        <v>5</v>
      </c>
      <c r="C446" s="22">
        <v>0.5484</v>
      </c>
      <c r="D446" s="32">
        <f t="shared" si="6"/>
        <v>2.742</v>
      </c>
    </row>
    <row r="447" spans="1:4" x14ac:dyDescent="0.2">
      <c r="A447" s="3">
        <v>40638</v>
      </c>
      <c r="B447" s="1">
        <v>4</v>
      </c>
      <c r="C447" s="22">
        <v>3.6737000000000002</v>
      </c>
      <c r="D447" s="32">
        <f t="shared" si="6"/>
        <v>14.694800000000001</v>
      </c>
    </row>
    <row r="448" spans="1:4" x14ac:dyDescent="0.2">
      <c r="A448" s="3">
        <v>40639</v>
      </c>
      <c r="B448" s="1">
        <v>5</v>
      </c>
      <c r="C448" s="22">
        <v>4.4690000000000003</v>
      </c>
      <c r="D448" s="32">
        <f t="shared" si="6"/>
        <v>22.345000000000002</v>
      </c>
    </row>
    <row r="449" spans="1:4" x14ac:dyDescent="0.2">
      <c r="A449" s="3">
        <v>40640</v>
      </c>
      <c r="B449" s="1">
        <v>3</v>
      </c>
      <c r="C449" s="22">
        <v>1.2082999999999999</v>
      </c>
      <c r="D449" s="32">
        <f t="shared" si="6"/>
        <v>3.6248999999999998</v>
      </c>
    </row>
    <row r="450" spans="1:4" x14ac:dyDescent="0.2">
      <c r="A450" s="3">
        <v>40641</v>
      </c>
      <c r="B450" s="1">
        <v>6</v>
      </c>
      <c r="C450" s="22">
        <v>0.34749999999999998</v>
      </c>
      <c r="D450" s="32">
        <f t="shared" si="6"/>
        <v>2.085</v>
      </c>
    </row>
    <row r="451" spans="1:4" x14ac:dyDescent="0.2">
      <c r="A451" s="3">
        <v>40642</v>
      </c>
      <c r="B451" s="1">
        <v>4</v>
      </c>
      <c r="C451" s="22">
        <v>3.6858</v>
      </c>
      <c r="D451" s="32">
        <f t="shared" si="6"/>
        <v>14.7432</v>
      </c>
    </row>
    <row r="452" spans="1:4" x14ac:dyDescent="0.2">
      <c r="A452" s="3">
        <v>40643</v>
      </c>
      <c r="B452" s="1">
        <v>2</v>
      </c>
      <c r="C452" s="22">
        <v>2.9775</v>
      </c>
      <c r="D452" s="32">
        <f t="shared" ref="D452:D515" si="7">B452*C452</f>
        <v>5.9550000000000001</v>
      </c>
    </row>
    <row r="453" spans="1:4" x14ac:dyDescent="0.2">
      <c r="A453" s="3">
        <v>40644</v>
      </c>
      <c r="B453" s="1">
        <v>5</v>
      </c>
      <c r="C453" s="22">
        <v>8.8099999999999998E-2</v>
      </c>
      <c r="D453" s="32">
        <f t="shared" si="7"/>
        <v>0.4405</v>
      </c>
    </row>
    <row r="454" spans="1:4" x14ac:dyDescent="0.2">
      <c r="A454" s="3">
        <v>40645</v>
      </c>
      <c r="B454" s="1">
        <v>7</v>
      </c>
      <c r="C454" s="22">
        <v>3.9512999999999998</v>
      </c>
      <c r="D454" s="32">
        <f t="shared" si="7"/>
        <v>27.659099999999999</v>
      </c>
    </row>
    <row r="455" spans="1:4" x14ac:dyDescent="0.2">
      <c r="A455" s="3">
        <v>40646</v>
      </c>
      <c r="B455" s="1">
        <v>5</v>
      </c>
      <c r="C455" s="22">
        <v>0.66590000000000005</v>
      </c>
      <c r="D455" s="32">
        <f t="shared" si="7"/>
        <v>3.3295000000000003</v>
      </c>
    </row>
    <row r="456" spans="1:4" x14ac:dyDescent="0.2">
      <c r="A456" s="3">
        <v>40647</v>
      </c>
      <c r="B456" s="1">
        <v>10</v>
      </c>
      <c r="C456" s="22">
        <v>2.4394</v>
      </c>
      <c r="D456" s="32">
        <f t="shared" si="7"/>
        <v>24.393999999999998</v>
      </c>
    </row>
    <row r="457" spans="1:4" x14ac:dyDescent="0.2">
      <c r="A457" s="3">
        <v>40648</v>
      </c>
      <c r="B457" s="1">
        <v>9</v>
      </c>
      <c r="C457" s="22">
        <v>5.0552999999999999</v>
      </c>
      <c r="D457" s="32">
        <f t="shared" si="7"/>
        <v>45.497700000000002</v>
      </c>
    </row>
    <row r="458" spans="1:4" x14ac:dyDescent="0.2">
      <c r="A458" s="3">
        <v>40649</v>
      </c>
      <c r="B458" s="1">
        <v>1</v>
      </c>
      <c r="C458" s="22">
        <v>0.9133</v>
      </c>
      <c r="D458" s="32">
        <f t="shared" si="7"/>
        <v>0.9133</v>
      </c>
    </row>
    <row r="459" spans="1:4" x14ac:dyDescent="0.2">
      <c r="A459" s="3">
        <v>40650</v>
      </c>
      <c r="B459" s="1">
        <v>1</v>
      </c>
      <c r="C459" s="22">
        <v>1.1836</v>
      </c>
      <c r="D459" s="32">
        <f t="shared" si="7"/>
        <v>1.1836</v>
      </c>
    </row>
    <row r="460" spans="1:4" x14ac:dyDescent="0.2">
      <c r="A460" s="3">
        <v>40651</v>
      </c>
      <c r="B460" s="1">
        <v>4</v>
      </c>
      <c r="C460" s="22">
        <v>0.43719999999999998</v>
      </c>
      <c r="D460" s="32">
        <f t="shared" si="7"/>
        <v>1.7487999999999999</v>
      </c>
    </row>
    <row r="461" spans="1:4" x14ac:dyDescent="0.2">
      <c r="A461" s="3">
        <v>40652</v>
      </c>
      <c r="B461" s="1">
        <v>4</v>
      </c>
      <c r="C461" s="22">
        <v>0.41320000000000001</v>
      </c>
      <c r="D461" s="32">
        <f t="shared" si="7"/>
        <v>1.6528</v>
      </c>
    </row>
    <row r="462" spans="1:4" x14ac:dyDescent="0.2">
      <c r="A462" s="3">
        <v>40653</v>
      </c>
      <c r="B462" s="1">
        <v>2</v>
      </c>
      <c r="C462" s="22">
        <v>1.1386000000000001</v>
      </c>
      <c r="D462" s="32">
        <f t="shared" si="7"/>
        <v>2.2772000000000001</v>
      </c>
    </row>
    <row r="463" spans="1:4" x14ac:dyDescent="0.2">
      <c r="A463" s="3">
        <v>40654</v>
      </c>
      <c r="B463" s="1">
        <v>5</v>
      </c>
      <c r="C463" s="22">
        <v>0.80689999999999995</v>
      </c>
      <c r="D463" s="32">
        <f t="shared" si="7"/>
        <v>4.0344999999999995</v>
      </c>
    </row>
    <row r="464" spans="1:4" x14ac:dyDescent="0.2">
      <c r="A464" s="3">
        <v>40655</v>
      </c>
      <c r="B464" s="1">
        <v>8</v>
      </c>
      <c r="C464" s="22">
        <v>1.1969000000000001</v>
      </c>
      <c r="D464" s="32">
        <f t="shared" si="7"/>
        <v>9.5752000000000006</v>
      </c>
    </row>
    <row r="465" spans="1:4" x14ac:dyDescent="0.2">
      <c r="A465" s="3">
        <v>40656</v>
      </c>
      <c r="B465" s="1">
        <v>3</v>
      </c>
      <c r="C465" s="22">
        <v>0.46479999999999999</v>
      </c>
      <c r="D465" s="32">
        <f t="shared" si="7"/>
        <v>1.3944000000000001</v>
      </c>
    </row>
    <row r="466" spans="1:4" x14ac:dyDescent="0.2">
      <c r="A466" s="3">
        <v>40657</v>
      </c>
      <c r="B466" s="1">
        <v>6</v>
      </c>
      <c r="C466" s="22">
        <v>0.38090000000000002</v>
      </c>
      <c r="D466" s="32">
        <f t="shared" si="7"/>
        <v>2.2854000000000001</v>
      </c>
    </row>
    <row r="467" spans="1:4" x14ac:dyDescent="0.2">
      <c r="A467" s="3">
        <v>40658</v>
      </c>
      <c r="B467" s="1">
        <v>4</v>
      </c>
      <c r="C467" s="22">
        <v>0.38779999999999998</v>
      </c>
      <c r="D467" s="32">
        <f t="shared" si="7"/>
        <v>1.5511999999999999</v>
      </c>
    </row>
    <row r="468" spans="1:4" x14ac:dyDescent="0.2">
      <c r="A468" s="3">
        <v>40659</v>
      </c>
      <c r="B468" s="1">
        <v>3</v>
      </c>
      <c r="C468" s="22">
        <v>2.8479999999999999</v>
      </c>
      <c r="D468" s="32">
        <f t="shared" si="7"/>
        <v>8.5440000000000005</v>
      </c>
    </row>
    <row r="469" spans="1:4" x14ac:dyDescent="0.2">
      <c r="A469" s="3">
        <v>40660</v>
      </c>
      <c r="B469" s="1">
        <v>10</v>
      </c>
      <c r="C469" s="22">
        <v>1.7004999999999999</v>
      </c>
      <c r="D469" s="32">
        <f t="shared" si="7"/>
        <v>17.004999999999999</v>
      </c>
    </row>
    <row r="470" spans="1:4" x14ac:dyDescent="0.2">
      <c r="A470" s="3">
        <v>40661</v>
      </c>
      <c r="B470" s="1">
        <v>2</v>
      </c>
      <c r="C470" s="22">
        <v>0.68230000000000002</v>
      </c>
      <c r="D470" s="32">
        <f t="shared" si="7"/>
        <v>1.3646</v>
      </c>
    </row>
    <row r="471" spans="1:4" x14ac:dyDescent="0.2">
      <c r="A471" s="3">
        <v>40662</v>
      </c>
      <c r="B471" s="1">
        <v>1</v>
      </c>
      <c r="C471" s="22">
        <v>4.5263999999999998</v>
      </c>
      <c r="D471" s="32">
        <f t="shared" si="7"/>
        <v>4.5263999999999998</v>
      </c>
    </row>
    <row r="472" spans="1:4" x14ac:dyDescent="0.2">
      <c r="A472" s="3">
        <v>40663</v>
      </c>
      <c r="B472" s="1">
        <v>5</v>
      </c>
      <c r="C472" s="22">
        <v>2.7778999999999998</v>
      </c>
      <c r="D472" s="32">
        <f t="shared" si="7"/>
        <v>13.889499999999998</v>
      </c>
    </row>
    <row r="473" spans="1:4" x14ac:dyDescent="0.2">
      <c r="A473" s="3">
        <v>40664</v>
      </c>
      <c r="B473" s="1">
        <v>5</v>
      </c>
      <c r="C473" s="22">
        <v>1.5502</v>
      </c>
      <c r="D473" s="32">
        <f t="shared" si="7"/>
        <v>7.7510000000000003</v>
      </c>
    </row>
    <row r="474" spans="1:4" x14ac:dyDescent="0.2">
      <c r="A474" s="3">
        <v>40665</v>
      </c>
      <c r="B474" s="1">
        <v>7</v>
      </c>
      <c r="C474" s="22">
        <v>1.7672000000000001</v>
      </c>
      <c r="D474" s="32">
        <f t="shared" si="7"/>
        <v>12.3704</v>
      </c>
    </row>
    <row r="475" spans="1:4" x14ac:dyDescent="0.2">
      <c r="A475" s="3">
        <v>40666</v>
      </c>
      <c r="B475" s="1">
        <v>5</v>
      </c>
      <c r="C475" s="22">
        <v>3.3855</v>
      </c>
      <c r="D475" s="32">
        <f t="shared" si="7"/>
        <v>16.927499999999998</v>
      </c>
    </row>
    <row r="476" spans="1:4" x14ac:dyDescent="0.2">
      <c r="A476" s="3">
        <v>40667</v>
      </c>
      <c r="B476" s="1">
        <v>6</v>
      </c>
      <c r="C476" s="22">
        <v>2.3635999999999999</v>
      </c>
      <c r="D476" s="32">
        <f t="shared" si="7"/>
        <v>14.1816</v>
      </c>
    </row>
    <row r="477" spans="1:4" x14ac:dyDescent="0.2">
      <c r="A477" s="3">
        <v>40668</v>
      </c>
      <c r="B477" s="1">
        <v>8</v>
      </c>
      <c r="C477" s="22">
        <v>1.5785</v>
      </c>
      <c r="D477" s="32">
        <f t="shared" si="7"/>
        <v>12.628</v>
      </c>
    </row>
    <row r="478" spans="1:4" x14ac:dyDescent="0.2">
      <c r="A478" s="3">
        <v>40669</v>
      </c>
      <c r="B478" s="1">
        <v>6</v>
      </c>
      <c r="C478" s="22">
        <v>0.84630000000000005</v>
      </c>
      <c r="D478" s="32">
        <f t="shared" si="7"/>
        <v>5.0777999999999999</v>
      </c>
    </row>
    <row r="479" spans="1:4" x14ac:dyDescent="0.2">
      <c r="A479" s="3">
        <v>40670</v>
      </c>
      <c r="B479" s="1">
        <v>2</v>
      </c>
      <c r="C479" s="22">
        <v>0.80569999999999997</v>
      </c>
      <c r="D479" s="32">
        <f t="shared" si="7"/>
        <v>1.6113999999999999</v>
      </c>
    </row>
    <row r="480" spans="1:4" x14ac:dyDescent="0.2">
      <c r="A480" s="3">
        <v>40671</v>
      </c>
      <c r="B480" s="1">
        <v>8</v>
      </c>
      <c r="C480" s="22">
        <v>0.18590000000000001</v>
      </c>
      <c r="D480" s="32">
        <f t="shared" si="7"/>
        <v>1.4872000000000001</v>
      </c>
    </row>
    <row r="481" spans="1:4" x14ac:dyDescent="0.2">
      <c r="A481" s="3">
        <v>40672</v>
      </c>
      <c r="B481" s="1">
        <v>5</v>
      </c>
      <c r="C481" s="22">
        <v>0.85460000000000003</v>
      </c>
      <c r="D481" s="32">
        <f t="shared" si="7"/>
        <v>4.2729999999999997</v>
      </c>
    </row>
    <row r="482" spans="1:4" x14ac:dyDescent="0.2">
      <c r="A482" s="3">
        <v>40673</v>
      </c>
      <c r="B482" s="1">
        <v>5</v>
      </c>
      <c r="C482" s="22">
        <v>2.4293</v>
      </c>
      <c r="D482" s="32">
        <f t="shared" si="7"/>
        <v>12.1465</v>
      </c>
    </row>
    <row r="483" spans="1:4" x14ac:dyDescent="0.2">
      <c r="A483" s="3">
        <v>40674</v>
      </c>
      <c r="B483" s="1">
        <v>5</v>
      </c>
      <c r="C483" s="22">
        <v>0.93120000000000003</v>
      </c>
      <c r="D483" s="32">
        <f t="shared" si="7"/>
        <v>4.6560000000000006</v>
      </c>
    </row>
    <row r="484" spans="1:4" x14ac:dyDescent="0.2">
      <c r="A484" s="3">
        <v>40675</v>
      </c>
      <c r="B484" s="1">
        <v>9</v>
      </c>
      <c r="C484" s="22">
        <v>1.0004</v>
      </c>
      <c r="D484" s="32">
        <f t="shared" si="7"/>
        <v>9.0035999999999987</v>
      </c>
    </row>
    <row r="485" spans="1:4" x14ac:dyDescent="0.2">
      <c r="A485" s="3">
        <v>40676</v>
      </c>
      <c r="B485" s="1">
        <v>1</v>
      </c>
      <c r="C485" s="22">
        <v>1.4567000000000001</v>
      </c>
      <c r="D485" s="32">
        <f t="shared" si="7"/>
        <v>1.4567000000000001</v>
      </c>
    </row>
    <row r="486" spans="1:4" x14ac:dyDescent="0.2">
      <c r="A486" s="3">
        <v>40677</v>
      </c>
      <c r="B486" s="1">
        <v>4</v>
      </c>
      <c r="C486" s="22">
        <v>0.58320000000000005</v>
      </c>
      <c r="D486" s="32">
        <f t="shared" si="7"/>
        <v>2.3328000000000002</v>
      </c>
    </row>
    <row r="487" spans="1:4" x14ac:dyDescent="0.2">
      <c r="A487" s="3">
        <v>40678</v>
      </c>
      <c r="B487" s="1">
        <v>5</v>
      </c>
      <c r="C487" s="22">
        <v>1.5417000000000001</v>
      </c>
      <c r="D487" s="32">
        <f t="shared" si="7"/>
        <v>7.7085000000000008</v>
      </c>
    </row>
    <row r="488" spans="1:4" x14ac:dyDescent="0.2">
      <c r="A488" s="3">
        <v>40679</v>
      </c>
      <c r="B488" s="1">
        <v>10</v>
      </c>
      <c r="C488" s="22">
        <v>0.3417</v>
      </c>
      <c r="D488" s="32">
        <f t="shared" si="7"/>
        <v>3.4169999999999998</v>
      </c>
    </row>
    <row r="489" spans="1:4" x14ac:dyDescent="0.2">
      <c r="A489" s="3">
        <v>40680</v>
      </c>
      <c r="B489" s="1">
        <v>11</v>
      </c>
      <c r="C489" s="22">
        <v>1.7661</v>
      </c>
      <c r="D489" s="32">
        <f t="shared" si="7"/>
        <v>19.427099999999999</v>
      </c>
    </row>
    <row r="490" spans="1:4" x14ac:dyDescent="0.2">
      <c r="A490" s="3">
        <v>40681</v>
      </c>
      <c r="B490" s="1">
        <v>1</v>
      </c>
      <c r="C490" s="22">
        <v>1.0434000000000001</v>
      </c>
      <c r="D490" s="32">
        <f t="shared" si="7"/>
        <v>1.0434000000000001</v>
      </c>
    </row>
    <row r="491" spans="1:4" x14ac:dyDescent="0.2">
      <c r="A491" s="3">
        <v>40682</v>
      </c>
      <c r="B491" s="1">
        <v>1</v>
      </c>
      <c r="C491" s="22">
        <v>0.88180000000000003</v>
      </c>
      <c r="D491" s="32">
        <f t="shared" si="7"/>
        <v>0.88180000000000003</v>
      </c>
    </row>
    <row r="492" spans="1:4" x14ac:dyDescent="0.2">
      <c r="A492" s="3">
        <v>40683</v>
      </c>
      <c r="B492" s="1">
        <v>7</v>
      </c>
      <c r="C492" s="22">
        <v>1.4204000000000001</v>
      </c>
      <c r="D492" s="32">
        <f t="shared" si="7"/>
        <v>9.9428000000000001</v>
      </c>
    </row>
    <row r="493" spans="1:4" x14ac:dyDescent="0.2">
      <c r="A493" s="3">
        <v>40684</v>
      </c>
      <c r="B493" s="1">
        <v>4</v>
      </c>
      <c r="C493" s="22">
        <v>2.0518999999999998</v>
      </c>
      <c r="D493" s="32">
        <f t="shared" si="7"/>
        <v>8.2075999999999993</v>
      </c>
    </row>
    <row r="494" spans="1:4" x14ac:dyDescent="0.2">
      <c r="A494" s="3">
        <v>40685</v>
      </c>
      <c r="B494" s="1">
        <v>5</v>
      </c>
      <c r="C494" s="22">
        <v>0.70179999999999998</v>
      </c>
      <c r="D494" s="32">
        <f t="shared" si="7"/>
        <v>3.5089999999999999</v>
      </c>
    </row>
    <row r="495" spans="1:4" x14ac:dyDescent="0.2">
      <c r="A495" s="3">
        <v>40686</v>
      </c>
      <c r="B495" s="1">
        <v>1</v>
      </c>
      <c r="C495" s="22">
        <v>1.1357999999999999</v>
      </c>
      <c r="D495" s="32">
        <f t="shared" si="7"/>
        <v>1.1357999999999999</v>
      </c>
    </row>
    <row r="496" spans="1:4" x14ac:dyDescent="0.2">
      <c r="A496" s="3">
        <v>40687</v>
      </c>
      <c r="B496" s="1">
        <v>6</v>
      </c>
      <c r="C496" s="22">
        <v>1.7105999999999999</v>
      </c>
      <c r="D496" s="32">
        <f t="shared" si="7"/>
        <v>10.2636</v>
      </c>
    </row>
    <row r="497" spans="1:4" x14ac:dyDescent="0.2">
      <c r="A497" s="3">
        <v>40688</v>
      </c>
      <c r="B497" s="1">
        <v>5</v>
      </c>
      <c r="C497" s="22">
        <v>4.6905999999999999</v>
      </c>
      <c r="D497" s="32">
        <f t="shared" si="7"/>
        <v>23.452999999999999</v>
      </c>
    </row>
    <row r="498" spans="1:4" x14ac:dyDescent="0.2">
      <c r="A498" s="3">
        <v>40689</v>
      </c>
      <c r="B498" s="1">
        <v>1</v>
      </c>
      <c r="C498" s="22">
        <v>0.59650000000000003</v>
      </c>
      <c r="D498" s="32">
        <f t="shared" si="7"/>
        <v>0.59650000000000003</v>
      </c>
    </row>
    <row r="499" spans="1:4" x14ac:dyDescent="0.2">
      <c r="A499" s="3">
        <v>40690</v>
      </c>
      <c r="B499" s="1">
        <v>2</v>
      </c>
      <c r="C499" s="22">
        <v>1.2382</v>
      </c>
      <c r="D499" s="32">
        <f t="shared" si="7"/>
        <v>2.4763999999999999</v>
      </c>
    </row>
    <row r="500" spans="1:4" x14ac:dyDescent="0.2">
      <c r="A500" s="3">
        <v>40691</v>
      </c>
      <c r="B500" s="1">
        <v>1</v>
      </c>
      <c r="C500" s="22">
        <v>1.3895999999999999</v>
      </c>
      <c r="D500" s="32">
        <f t="shared" si="7"/>
        <v>1.3895999999999999</v>
      </c>
    </row>
    <row r="501" spans="1:4" x14ac:dyDescent="0.2">
      <c r="A501" s="3">
        <v>40692</v>
      </c>
      <c r="B501" s="1">
        <v>4</v>
      </c>
      <c r="C501" s="22">
        <v>6.2186000000000003</v>
      </c>
      <c r="D501" s="32">
        <f t="shared" si="7"/>
        <v>24.874400000000001</v>
      </c>
    </row>
    <row r="502" spans="1:4" x14ac:dyDescent="0.2">
      <c r="A502" s="3">
        <v>40693</v>
      </c>
      <c r="B502" s="1">
        <v>5</v>
      </c>
      <c r="C502" s="22">
        <v>2.3491</v>
      </c>
      <c r="D502" s="32">
        <f t="shared" si="7"/>
        <v>11.7455</v>
      </c>
    </row>
    <row r="503" spans="1:4" x14ac:dyDescent="0.2">
      <c r="A503" s="3">
        <v>40694</v>
      </c>
      <c r="B503" s="1">
        <v>6</v>
      </c>
      <c r="C503" s="22">
        <v>0.4879</v>
      </c>
      <c r="D503" s="32">
        <f t="shared" si="7"/>
        <v>2.9274</v>
      </c>
    </row>
    <row r="504" spans="1:4" x14ac:dyDescent="0.2">
      <c r="A504" s="3">
        <v>40695</v>
      </c>
      <c r="B504" s="1">
        <v>11</v>
      </c>
      <c r="C504" s="22">
        <v>0.65539999999999998</v>
      </c>
      <c r="D504" s="32">
        <f t="shared" si="7"/>
        <v>7.2093999999999996</v>
      </c>
    </row>
    <row r="505" spans="1:4" x14ac:dyDescent="0.2">
      <c r="A505" s="3">
        <v>40696</v>
      </c>
      <c r="B505" s="1">
        <v>1</v>
      </c>
      <c r="C505" s="22">
        <v>2.3340000000000001</v>
      </c>
      <c r="D505" s="32">
        <f t="shared" si="7"/>
        <v>2.3340000000000001</v>
      </c>
    </row>
    <row r="506" spans="1:4" x14ac:dyDescent="0.2">
      <c r="A506" s="3">
        <v>40697</v>
      </c>
      <c r="B506" s="1">
        <v>1</v>
      </c>
      <c r="C506" s="22">
        <v>3.3976000000000002</v>
      </c>
      <c r="D506" s="32">
        <f t="shared" si="7"/>
        <v>3.3976000000000002</v>
      </c>
    </row>
    <row r="507" spans="1:4" x14ac:dyDescent="0.2">
      <c r="A507" s="3">
        <v>40698</v>
      </c>
      <c r="B507" s="1">
        <v>7</v>
      </c>
      <c r="C507" s="22">
        <v>1.5330999999999999</v>
      </c>
      <c r="D507" s="32">
        <f t="shared" si="7"/>
        <v>10.7317</v>
      </c>
    </row>
    <row r="508" spans="1:4" x14ac:dyDescent="0.2">
      <c r="A508" s="3">
        <v>40699</v>
      </c>
      <c r="B508" s="1">
        <v>1</v>
      </c>
      <c r="C508" s="22">
        <v>2.0087999999999999</v>
      </c>
      <c r="D508" s="32">
        <f t="shared" si="7"/>
        <v>2.0087999999999999</v>
      </c>
    </row>
    <row r="509" spans="1:4" x14ac:dyDescent="0.2">
      <c r="A509" s="3">
        <v>40700</v>
      </c>
      <c r="B509" s="1">
        <v>10</v>
      </c>
      <c r="C509" s="22">
        <v>0.68069999999999997</v>
      </c>
      <c r="D509" s="32">
        <f t="shared" si="7"/>
        <v>6.8069999999999995</v>
      </c>
    </row>
    <row r="510" spans="1:4" x14ac:dyDescent="0.2">
      <c r="A510" s="3">
        <v>40701</v>
      </c>
      <c r="B510" s="1">
        <v>1</v>
      </c>
      <c r="C510" s="22">
        <v>0.99160000000000004</v>
      </c>
      <c r="D510" s="32">
        <f t="shared" si="7"/>
        <v>0.99160000000000004</v>
      </c>
    </row>
    <row r="511" spans="1:4" x14ac:dyDescent="0.2">
      <c r="A511" s="3">
        <v>40702</v>
      </c>
      <c r="B511" s="1">
        <v>1</v>
      </c>
      <c r="C511" s="22">
        <v>1.3949</v>
      </c>
      <c r="D511" s="32">
        <f t="shared" si="7"/>
        <v>1.3949</v>
      </c>
    </row>
    <row r="512" spans="1:4" x14ac:dyDescent="0.2">
      <c r="A512" s="3">
        <v>40703</v>
      </c>
      <c r="B512" s="1">
        <v>4</v>
      </c>
      <c r="C512" s="22">
        <v>0.78320000000000001</v>
      </c>
      <c r="D512" s="32">
        <f t="shared" si="7"/>
        <v>3.1328</v>
      </c>
    </row>
    <row r="513" spans="1:4" x14ac:dyDescent="0.2">
      <c r="A513" s="3">
        <v>40704</v>
      </c>
      <c r="B513" s="1">
        <v>4</v>
      </c>
      <c r="C513" s="22">
        <v>0.91749999999999998</v>
      </c>
      <c r="D513" s="32">
        <f t="shared" si="7"/>
        <v>3.67</v>
      </c>
    </row>
    <row r="514" spans="1:4" x14ac:dyDescent="0.2">
      <c r="A514" s="3">
        <v>40705</v>
      </c>
      <c r="B514" s="1">
        <v>6</v>
      </c>
      <c r="C514" s="22">
        <v>0.1166</v>
      </c>
      <c r="D514" s="32">
        <f t="shared" si="7"/>
        <v>0.6996</v>
      </c>
    </row>
    <row r="515" spans="1:4" x14ac:dyDescent="0.2">
      <c r="A515" s="3">
        <v>40706</v>
      </c>
      <c r="B515" s="1">
        <v>4</v>
      </c>
      <c r="C515" s="22">
        <v>4.3672000000000004</v>
      </c>
      <c r="D515" s="32">
        <f t="shared" si="7"/>
        <v>17.468800000000002</v>
      </c>
    </row>
    <row r="516" spans="1:4" x14ac:dyDescent="0.2">
      <c r="A516" s="3">
        <v>40707</v>
      </c>
      <c r="B516" s="1">
        <v>1</v>
      </c>
      <c r="C516" s="22">
        <v>6.7309999999999999</v>
      </c>
      <c r="D516" s="32">
        <f t="shared" ref="D516:D579" si="8">B516*C516</f>
        <v>6.7309999999999999</v>
      </c>
    </row>
    <row r="517" spans="1:4" x14ac:dyDescent="0.2">
      <c r="A517" s="3">
        <v>40708</v>
      </c>
      <c r="B517" s="1">
        <v>8</v>
      </c>
      <c r="C517" s="22">
        <v>0.64990000000000003</v>
      </c>
      <c r="D517" s="32">
        <f t="shared" si="8"/>
        <v>5.1992000000000003</v>
      </c>
    </row>
    <row r="518" spans="1:4" x14ac:dyDescent="0.2">
      <c r="A518" s="3">
        <v>40709</v>
      </c>
      <c r="B518" s="1">
        <v>1</v>
      </c>
      <c r="C518" s="22">
        <v>3.4649999999999999</v>
      </c>
      <c r="D518" s="32">
        <f t="shared" si="8"/>
        <v>3.4649999999999999</v>
      </c>
    </row>
    <row r="519" spans="1:4" x14ac:dyDescent="0.2">
      <c r="A519" s="3">
        <v>40710</v>
      </c>
      <c r="B519" s="1">
        <v>6</v>
      </c>
      <c r="C519" s="22">
        <v>2.7275</v>
      </c>
      <c r="D519" s="32">
        <f t="shared" si="8"/>
        <v>16.365000000000002</v>
      </c>
    </row>
    <row r="520" spans="1:4" x14ac:dyDescent="0.2">
      <c r="A520" s="3">
        <v>40711</v>
      </c>
      <c r="B520" s="1">
        <v>9</v>
      </c>
      <c r="C520" s="22">
        <v>0.23469999999999999</v>
      </c>
      <c r="D520" s="32">
        <f t="shared" si="8"/>
        <v>2.1122999999999998</v>
      </c>
    </row>
    <row r="521" spans="1:4" x14ac:dyDescent="0.2">
      <c r="A521" s="3">
        <v>40712</v>
      </c>
      <c r="B521" s="1">
        <v>3</v>
      </c>
      <c r="C521" s="22">
        <v>0.32690000000000002</v>
      </c>
      <c r="D521" s="32">
        <f t="shared" si="8"/>
        <v>0.98070000000000013</v>
      </c>
    </row>
    <row r="522" spans="1:4" x14ac:dyDescent="0.2">
      <c r="A522" s="3">
        <v>40713</v>
      </c>
      <c r="B522" s="1">
        <v>3</v>
      </c>
      <c r="C522" s="22">
        <v>3.1280999999999999</v>
      </c>
      <c r="D522" s="32">
        <f t="shared" si="8"/>
        <v>9.3842999999999996</v>
      </c>
    </row>
    <row r="523" spans="1:4" x14ac:dyDescent="0.2">
      <c r="A523" s="3">
        <v>40714</v>
      </c>
      <c r="B523" s="1">
        <v>16</v>
      </c>
      <c r="C523" s="22">
        <v>3.9529999999999998</v>
      </c>
      <c r="D523" s="32">
        <f t="shared" si="8"/>
        <v>63.247999999999998</v>
      </c>
    </row>
    <row r="524" spans="1:4" x14ac:dyDescent="0.2">
      <c r="A524" s="3">
        <v>40715</v>
      </c>
      <c r="B524" s="1">
        <v>5</v>
      </c>
      <c r="C524" s="22">
        <v>6.1143000000000001</v>
      </c>
      <c r="D524" s="32">
        <f t="shared" si="8"/>
        <v>30.5715</v>
      </c>
    </row>
    <row r="525" spans="1:4" x14ac:dyDescent="0.2">
      <c r="A525" s="3">
        <v>40716</v>
      </c>
      <c r="B525" s="1">
        <v>2</v>
      </c>
      <c r="C525" s="22">
        <v>0.36559999999999998</v>
      </c>
      <c r="D525" s="32">
        <f t="shared" si="8"/>
        <v>0.73119999999999996</v>
      </c>
    </row>
    <row r="526" spans="1:4" x14ac:dyDescent="0.2">
      <c r="A526" s="3">
        <v>40717</v>
      </c>
      <c r="B526" s="1">
        <v>10</v>
      </c>
      <c r="C526" s="22">
        <v>3.9165000000000001</v>
      </c>
      <c r="D526" s="32">
        <f t="shared" si="8"/>
        <v>39.164999999999999</v>
      </c>
    </row>
    <row r="527" spans="1:4" x14ac:dyDescent="0.2">
      <c r="A527" s="3">
        <v>40718</v>
      </c>
      <c r="B527" s="1">
        <v>8</v>
      </c>
      <c r="C527" s="22">
        <v>3.3342999999999998</v>
      </c>
      <c r="D527" s="32">
        <f t="shared" si="8"/>
        <v>26.674399999999999</v>
      </c>
    </row>
    <row r="528" spans="1:4" x14ac:dyDescent="0.2">
      <c r="A528" s="3">
        <v>40719</v>
      </c>
      <c r="B528" s="1">
        <v>4</v>
      </c>
      <c r="C528" s="22">
        <v>1.0052000000000001</v>
      </c>
      <c r="D528" s="32">
        <f t="shared" si="8"/>
        <v>4.0208000000000004</v>
      </c>
    </row>
    <row r="529" spans="1:4" x14ac:dyDescent="0.2">
      <c r="A529" s="3">
        <v>40720</v>
      </c>
      <c r="B529" s="1">
        <v>3</v>
      </c>
      <c r="C529" s="22">
        <v>1.3629</v>
      </c>
      <c r="D529" s="32">
        <f t="shared" si="8"/>
        <v>4.0887000000000002</v>
      </c>
    </row>
    <row r="530" spans="1:4" x14ac:dyDescent="0.2">
      <c r="A530" s="3">
        <v>40721</v>
      </c>
      <c r="B530" s="1">
        <v>2</v>
      </c>
      <c r="C530" s="22">
        <v>0.57940000000000003</v>
      </c>
      <c r="D530" s="32">
        <f t="shared" si="8"/>
        <v>1.1588000000000001</v>
      </c>
    </row>
    <row r="531" spans="1:4" x14ac:dyDescent="0.2">
      <c r="A531" s="3">
        <v>40722</v>
      </c>
      <c r="B531" s="1">
        <v>5</v>
      </c>
      <c r="C531" s="22">
        <v>0.37869999999999998</v>
      </c>
      <c r="D531" s="32">
        <f t="shared" si="8"/>
        <v>1.8935</v>
      </c>
    </row>
    <row r="532" spans="1:4" x14ac:dyDescent="0.2">
      <c r="A532" s="3">
        <v>40723</v>
      </c>
      <c r="B532" s="1">
        <v>4</v>
      </c>
      <c r="C532" s="22">
        <v>2.2364999999999999</v>
      </c>
      <c r="D532" s="32">
        <f t="shared" si="8"/>
        <v>8.9459999999999997</v>
      </c>
    </row>
    <row r="533" spans="1:4" x14ac:dyDescent="0.2">
      <c r="A533" s="3">
        <v>40724</v>
      </c>
      <c r="B533" s="1">
        <v>4</v>
      </c>
      <c r="C533" s="22">
        <v>2.7751000000000001</v>
      </c>
      <c r="D533" s="32">
        <f t="shared" si="8"/>
        <v>11.1004</v>
      </c>
    </row>
    <row r="534" spans="1:4" x14ac:dyDescent="0.2">
      <c r="A534" s="3">
        <v>40725</v>
      </c>
      <c r="B534" s="1">
        <v>5</v>
      </c>
      <c r="C534" s="22">
        <v>1.7519</v>
      </c>
      <c r="D534" s="32">
        <f t="shared" si="8"/>
        <v>8.7594999999999992</v>
      </c>
    </row>
    <row r="535" spans="1:4" x14ac:dyDescent="0.2">
      <c r="A535" s="3">
        <v>40726</v>
      </c>
      <c r="B535" s="1">
        <v>3</v>
      </c>
      <c r="C535" s="22">
        <v>1.5981000000000001</v>
      </c>
      <c r="D535" s="32">
        <f t="shared" si="8"/>
        <v>4.7942999999999998</v>
      </c>
    </row>
    <row r="536" spans="1:4" x14ac:dyDescent="0.2">
      <c r="A536" s="3">
        <v>40727</v>
      </c>
      <c r="B536" s="1">
        <v>2</v>
      </c>
      <c r="C536" s="22">
        <v>0.88770000000000004</v>
      </c>
      <c r="D536" s="32">
        <f t="shared" si="8"/>
        <v>1.7754000000000001</v>
      </c>
    </row>
    <row r="537" spans="1:4" x14ac:dyDescent="0.2">
      <c r="A537" s="3">
        <v>40728</v>
      </c>
      <c r="B537" s="1">
        <v>2</v>
      </c>
      <c r="C537" s="22">
        <v>0.39929999999999999</v>
      </c>
      <c r="D537" s="32">
        <f t="shared" si="8"/>
        <v>0.79859999999999998</v>
      </c>
    </row>
    <row r="538" spans="1:4" x14ac:dyDescent="0.2">
      <c r="A538" s="3">
        <v>40729</v>
      </c>
      <c r="B538" s="1">
        <v>9</v>
      </c>
      <c r="C538" s="22">
        <v>1.2496</v>
      </c>
      <c r="D538" s="32">
        <f t="shared" si="8"/>
        <v>11.246400000000001</v>
      </c>
    </row>
    <row r="539" spans="1:4" x14ac:dyDescent="0.2">
      <c r="A539" s="3">
        <v>40730</v>
      </c>
      <c r="B539" s="1">
        <v>2</v>
      </c>
      <c r="C539" s="22">
        <v>1.7636000000000001</v>
      </c>
      <c r="D539" s="32">
        <f t="shared" si="8"/>
        <v>3.5272000000000001</v>
      </c>
    </row>
    <row r="540" spans="1:4" x14ac:dyDescent="0.2">
      <c r="A540" s="3">
        <v>40731</v>
      </c>
      <c r="B540" s="1">
        <v>5</v>
      </c>
      <c r="C540" s="22">
        <v>1.0701000000000001</v>
      </c>
      <c r="D540" s="32">
        <f t="shared" si="8"/>
        <v>5.3505000000000003</v>
      </c>
    </row>
    <row r="541" spans="1:4" x14ac:dyDescent="0.2">
      <c r="A541" s="3">
        <v>40732</v>
      </c>
      <c r="B541" s="1">
        <v>11</v>
      </c>
      <c r="C541" s="22">
        <v>0.9355</v>
      </c>
      <c r="D541" s="32">
        <f t="shared" si="8"/>
        <v>10.2905</v>
      </c>
    </row>
    <row r="542" spans="1:4" x14ac:dyDescent="0.2">
      <c r="A542" s="3">
        <v>40733</v>
      </c>
      <c r="B542" s="1">
        <v>1</v>
      </c>
      <c r="C542" s="22">
        <v>0.34849999999999998</v>
      </c>
      <c r="D542" s="32">
        <f t="shared" si="8"/>
        <v>0.34849999999999998</v>
      </c>
    </row>
    <row r="543" spans="1:4" x14ac:dyDescent="0.2">
      <c r="A543" s="3">
        <v>40734</v>
      </c>
      <c r="B543" s="1">
        <v>6</v>
      </c>
      <c r="C543" s="22">
        <v>0.38729999999999998</v>
      </c>
      <c r="D543" s="32">
        <f t="shared" si="8"/>
        <v>2.3237999999999999</v>
      </c>
    </row>
    <row r="544" spans="1:4" x14ac:dyDescent="0.2">
      <c r="A544" s="3">
        <v>40735</v>
      </c>
      <c r="B544" s="1">
        <v>2</v>
      </c>
      <c r="C544" s="22">
        <v>3.0644999999999998</v>
      </c>
      <c r="D544" s="32">
        <f t="shared" si="8"/>
        <v>6.1289999999999996</v>
      </c>
    </row>
    <row r="545" spans="1:4" x14ac:dyDescent="0.2">
      <c r="A545" s="3">
        <v>40736</v>
      </c>
      <c r="B545" s="1">
        <v>3</v>
      </c>
      <c r="C545" s="22">
        <v>0.46750000000000003</v>
      </c>
      <c r="D545" s="32">
        <f t="shared" si="8"/>
        <v>1.4025000000000001</v>
      </c>
    </row>
    <row r="546" spans="1:4" x14ac:dyDescent="0.2">
      <c r="A546" s="3">
        <v>40737</v>
      </c>
      <c r="B546" s="1">
        <v>10</v>
      </c>
      <c r="C546" s="22">
        <v>4.4854000000000003</v>
      </c>
      <c r="D546" s="32">
        <f t="shared" si="8"/>
        <v>44.853999999999999</v>
      </c>
    </row>
    <row r="547" spans="1:4" x14ac:dyDescent="0.2">
      <c r="A547" s="3">
        <v>40738</v>
      </c>
      <c r="B547" s="1">
        <v>8</v>
      </c>
      <c r="C547" s="22">
        <v>1.6003000000000001</v>
      </c>
      <c r="D547" s="32">
        <f t="shared" si="8"/>
        <v>12.8024</v>
      </c>
    </row>
    <row r="548" spans="1:4" x14ac:dyDescent="0.2">
      <c r="A548" s="3">
        <v>40739</v>
      </c>
      <c r="B548" s="1">
        <v>1</v>
      </c>
      <c r="C548" s="22">
        <v>5.0115999999999996</v>
      </c>
      <c r="D548" s="32">
        <f t="shared" si="8"/>
        <v>5.0115999999999996</v>
      </c>
    </row>
    <row r="549" spans="1:4" x14ac:dyDescent="0.2">
      <c r="A549" s="3">
        <v>40740</v>
      </c>
      <c r="B549" s="1">
        <v>7</v>
      </c>
      <c r="C549" s="22">
        <v>0.14080000000000001</v>
      </c>
      <c r="D549" s="32">
        <f t="shared" si="8"/>
        <v>0.98560000000000003</v>
      </c>
    </row>
    <row r="550" spans="1:4" x14ac:dyDescent="0.2">
      <c r="A550" s="3">
        <v>40741</v>
      </c>
      <c r="B550" s="1">
        <v>7</v>
      </c>
      <c r="C550" s="22">
        <v>1.1443000000000001</v>
      </c>
      <c r="D550" s="32">
        <f t="shared" si="8"/>
        <v>8.0101000000000013</v>
      </c>
    </row>
    <row r="551" spans="1:4" x14ac:dyDescent="0.2">
      <c r="A551" s="3">
        <v>40742</v>
      </c>
      <c r="B551" s="1">
        <v>12</v>
      </c>
      <c r="C551" s="22">
        <v>0.46820000000000001</v>
      </c>
      <c r="D551" s="32">
        <f t="shared" si="8"/>
        <v>5.6184000000000003</v>
      </c>
    </row>
    <row r="552" spans="1:4" x14ac:dyDescent="0.2">
      <c r="A552" s="3">
        <v>40743</v>
      </c>
      <c r="B552" s="1">
        <v>5</v>
      </c>
      <c r="C552" s="22">
        <v>2.9618000000000002</v>
      </c>
      <c r="D552" s="32">
        <f t="shared" si="8"/>
        <v>14.809000000000001</v>
      </c>
    </row>
    <row r="553" spans="1:4" x14ac:dyDescent="0.2">
      <c r="A553" s="3">
        <v>40744</v>
      </c>
      <c r="B553" s="1">
        <v>4</v>
      </c>
      <c r="C553" s="22">
        <v>6.8882000000000003</v>
      </c>
      <c r="D553" s="32">
        <f t="shared" si="8"/>
        <v>27.552800000000001</v>
      </c>
    </row>
    <row r="554" spans="1:4" x14ac:dyDescent="0.2">
      <c r="A554" s="3">
        <v>40745</v>
      </c>
      <c r="B554" s="1">
        <v>1</v>
      </c>
      <c r="C554" s="22">
        <v>2.7267000000000001</v>
      </c>
      <c r="D554" s="32">
        <f t="shared" si="8"/>
        <v>2.7267000000000001</v>
      </c>
    </row>
    <row r="555" spans="1:4" x14ac:dyDescent="0.2">
      <c r="A555" s="3">
        <v>40746</v>
      </c>
      <c r="B555" s="1">
        <v>3</v>
      </c>
      <c r="C555" s="22">
        <v>1.0021</v>
      </c>
      <c r="D555" s="32">
        <f t="shared" si="8"/>
        <v>3.0063</v>
      </c>
    </row>
    <row r="556" spans="1:4" x14ac:dyDescent="0.2">
      <c r="A556" s="3">
        <v>40747</v>
      </c>
      <c r="B556" s="1">
        <v>10</v>
      </c>
      <c r="C556" s="22">
        <v>0.56169999999999998</v>
      </c>
      <c r="D556" s="32">
        <f t="shared" si="8"/>
        <v>5.617</v>
      </c>
    </row>
    <row r="557" spans="1:4" x14ac:dyDescent="0.2">
      <c r="A557" s="3">
        <v>40748</v>
      </c>
      <c r="B557" s="1">
        <v>3</v>
      </c>
      <c r="C557" s="22">
        <v>0.1633</v>
      </c>
      <c r="D557" s="32">
        <f t="shared" si="8"/>
        <v>0.4899</v>
      </c>
    </row>
    <row r="558" spans="1:4" x14ac:dyDescent="0.2">
      <c r="A558" s="3">
        <v>40749</v>
      </c>
      <c r="B558" s="1">
        <v>1</v>
      </c>
      <c r="C558" s="22">
        <v>8.7116000000000007</v>
      </c>
      <c r="D558" s="32">
        <f t="shared" si="8"/>
        <v>8.7116000000000007</v>
      </c>
    </row>
    <row r="559" spans="1:4" x14ac:dyDescent="0.2">
      <c r="A559" s="3">
        <v>40750</v>
      </c>
      <c r="B559" s="1">
        <v>2</v>
      </c>
      <c r="C559" s="22">
        <v>4.3604000000000003</v>
      </c>
      <c r="D559" s="32">
        <f t="shared" si="8"/>
        <v>8.7208000000000006</v>
      </c>
    </row>
    <row r="560" spans="1:4" x14ac:dyDescent="0.2">
      <c r="A560" s="3">
        <v>40751</v>
      </c>
      <c r="B560" s="1">
        <v>6</v>
      </c>
      <c r="C560" s="22">
        <v>0.96360000000000001</v>
      </c>
      <c r="D560" s="32">
        <f t="shared" si="8"/>
        <v>5.7816000000000001</v>
      </c>
    </row>
    <row r="561" spans="1:4" x14ac:dyDescent="0.2">
      <c r="A561" s="3">
        <v>40752</v>
      </c>
      <c r="B561" s="1">
        <v>4</v>
      </c>
      <c r="C561" s="22">
        <v>1.5516000000000001</v>
      </c>
      <c r="D561" s="32">
        <f t="shared" si="8"/>
        <v>6.2064000000000004</v>
      </c>
    </row>
    <row r="562" spans="1:4" x14ac:dyDescent="0.2">
      <c r="A562" s="3">
        <v>40753</v>
      </c>
      <c r="B562" s="1">
        <v>7</v>
      </c>
      <c r="C562" s="22">
        <v>0.46689999999999998</v>
      </c>
      <c r="D562" s="32">
        <f t="shared" si="8"/>
        <v>3.2683</v>
      </c>
    </row>
    <row r="563" spans="1:4" x14ac:dyDescent="0.2">
      <c r="A563" s="3">
        <v>40754</v>
      </c>
      <c r="B563" s="1">
        <v>6</v>
      </c>
      <c r="C563" s="22">
        <v>0.59450000000000003</v>
      </c>
      <c r="D563" s="32">
        <f t="shared" si="8"/>
        <v>3.5670000000000002</v>
      </c>
    </row>
    <row r="564" spans="1:4" x14ac:dyDescent="0.2">
      <c r="A564" s="3">
        <v>40755</v>
      </c>
      <c r="B564" s="1">
        <v>5</v>
      </c>
      <c r="C564" s="22">
        <v>1.7294</v>
      </c>
      <c r="D564" s="32">
        <f t="shared" si="8"/>
        <v>8.6470000000000002</v>
      </c>
    </row>
    <row r="565" spans="1:4" x14ac:dyDescent="0.2">
      <c r="A565" s="3">
        <v>40756</v>
      </c>
      <c r="B565" s="1">
        <v>9</v>
      </c>
      <c r="C565" s="22">
        <v>4.4385000000000003</v>
      </c>
      <c r="D565" s="32">
        <f t="shared" si="8"/>
        <v>39.9465</v>
      </c>
    </row>
    <row r="566" spans="1:4" x14ac:dyDescent="0.2">
      <c r="A566" s="3">
        <v>40757</v>
      </c>
      <c r="B566" s="1">
        <v>9</v>
      </c>
      <c r="C566" s="22">
        <v>1.6637</v>
      </c>
      <c r="D566" s="32">
        <f t="shared" si="8"/>
        <v>14.9733</v>
      </c>
    </row>
    <row r="567" spans="1:4" x14ac:dyDescent="0.2">
      <c r="A567" s="3">
        <v>40758</v>
      </c>
      <c r="B567" s="1">
        <v>2</v>
      </c>
      <c r="C567" s="22">
        <v>7.0404</v>
      </c>
      <c r="D567" s="32">
        <f t="shared" si="8"/>
        <v>14.0808</v>
      </c>
    </row>
    <row r="568" spans="1:4" x14ac:dyDescent="0.2">
      <c r="A568" s="3">
        <v>40759</v>
      </c>
      <c r="B568" s="1">
        <v>7</v>
      </c>
      <c r="C568" s="22">
        <v>1.9851000000000001</v>
      </c>
      <c r="D568" s="32">
        <f t="shared" si="8"/>
        <v>13.895700000000001</v>
      </c>
    </row>
    <row r="569" spans="1:4" x14ac:dyDescent="0.2">
      <c r="A569" s="3">
        <v>40760</v>
      </c>
      <c r="B569" s="1">
        <v>2</v>
      </c>
      <c r="C569" s="22">
        <v>0.48220000000000002</v>
      </c>
      <c r="D569" s="32">
        <f t="shared" si="8"/>
        <v>0.96440000000000003</v>
      </c>
    </row>
    <row r="570" spans="1:4" x14ac:dyDescent="0.2">
      <c r="A570" s="3">
        <v>40761</v>
      </c>
      <c r="B570" s="1">
        <v>1</v>
      </c>
      <c r="C570" s="22">
        <v>0.48509999999999998</v>
      </c>
      <c r="D570" s="32">
        <f t="shared" si="8"/>
        <v>0.48509999999999998</v>
      </c>
    </row>
    <row r="571" spans="1:4" x14ac:dyDescent="0.2">
      <c r="A571" s="3">
        <v>40762</v>
      </c>
      <c r="B571" s="1">
        <v>1</v>
      </c>
      <c r="C571" s="22">
        <v>2.2058</v>
      </c>
      <c r="D571" s="32">
        <f t="shared" si="8"/>
        <v>2.2058</v>
      </c>
    </row>
    <row r="572" spans="1:4" x14ac:dyDescent="0.2">
      <c r="A572" s="3">
        <v>40763</v>
      </c>
      <c r="B572" s="1">
        <v>4</v>
      </c>
      <c r="C572" s="22">
        <v>0.31030000000000002</v>
      </c>
      <c r="D572" s="32">
        <f t="shared" si="8"/>
        <v>1.2412000000000001</v>
      </c>
    </row>
    <row r="573" spans="1:4" x14ac:dyDescent="0.2">
      <c r="A573" s="3">
        <v>40764</v>
      </c>
      <c r="B573" s="1">
        <v>4</v>
      </c>
      <c r="C573" s="22">
        <v>1.6414</v>
      </c>
      <c r="D573" s="32">
        <f t="shared" si="8"/>
        <v>6.5655999999999999</v>
      </c>
    </row>
    <row r="574" spans="1:4" x14ac:dyDescent="0.2">
      <c r="A574" s="3">
        <v>40765</v>
      </c>
      <c r="B574" s="1">
        <v>9</v>
      </c>
      <c r="C574" s="22">
        <v>0.55989999999999995</v>
      </c>
      <c r="D574" s="32">
        <f t="shared" si="8"/>
        <v>5.0390999999999995</v>
      </c>
    </row>
    <row r="575" spans="1:4" x14ac:dyDescent="0.2">
      <c r="A575" s="3">
        <v>40766</v>
      </c>
      <c r="B575" s="1">
        <v>4</v>
      </c>
      <c r="C575" s="22">
        <v>8.2860999999999994</v>
      </c>
      <c r="D575" s="32">
        <f t="shared" si="8"/>
        <v>33.144399999999997</v>
      </c>
    </row>
    <row r="576" spans="1:4" x14ac:dyDescent="0.2">
      <c r="A576" s="3">
        <v>40767</v>
      </c>
      <c r="B576" s="1">
        <v>3</v>
      </c>
      <c r="C576" s="22">
        <v>1.3337000000000001</v>
      </c>
      <c r="D576" s="32">
        <f t="shared" si="8"/>
        <v>4.0011000000000001</v>
      </c>
    </row>
    <row r="577" spans="1:4" x14ac:dyDescent="0.2">
      <c r="A577" s="3">
        <v>40768</v>
      </c>
      <c r="B577" s="1">
        <v>7</v>
      </c>
      <c r="C577" s="22">
        <v>1.7346999999999999</v>
      </c>
      <c r="D577" s="32">
        <f t="shared" si="8"/>
        <v>12.142899999999999</v>
      </c>
    </row>
    <row r="578" spans="1:4" x14ac:dyDescent="0.2">
      <c r="A578" s="3">
        <v>40769</v>
      </c>
      <c r="B578" s="1">
        <v>1</v>
      </c>
      <c r="C578" s="22">
        <v>0.1888</v>
      </c>
      <c r="D578" s="32">
        <f t="shared" si="8"/>
        <v>0.1888</v>
      </c>
    </row>
    <row r="579" spans="1:4" x14ac:dyDescent="0.2">
      <c r="A579" s="3">
        <v>40770</v>
      </c>
      <c r="B579" s="1">
        <v>3</v>
      </c>
      <c r="C579" s="22">
        <v>0.56059999999999999</v>
      </c>
      <c r="D579" s="32">
        <f t="shared" si="8"/>
        <v>1.6818</v>
      </c>
    </row>
    <row r="580" spans="1:4" x14ac:dyDescent="0.2">
      <c r="A580" s="3">
        <v>40771</v>
      </c>
      <c r="B580" s="1">
        <v>7</v>
      </c>
      <c r="C580" s="22">
        <v>0.52410000000000001</v>
      </c>
      <c r="D580" s="32">
        <f t="shared" ref="D580:D643" si="9">B580*C580</f>
        <v>3.6687000000000003</v>
      </c>
    </row>
    <row r="581" spans="1:4" x14ac:dyDescent="0.2">
      <c r="A581" s="3">
        <v>40772</v>
      </c>
      <c r="B581" s="1">
        <v>2</v>
      </c>
      <c r="C581" s="22">
        <v>2.7113999999999998</v>
      </c>
      <c r="D581" s="32">
        <f t="shared" si="9"/>
        <v>5.4227999999999996</v>
      </c>
    </row>
    <row r="582" spans="1:4" x14ac:dyDescent="0.2">
      <c r="A582" s="3">
        <v>40773</v>
      </c>
      <c r="B582" s="1">
        <v>1</v>
      </c>
      <c r="C582" s="22">
        <v>4.3090000000000002</v>
      </c>
      <c r="D582" s="32">
        <f t="shared" si="9"/>
        <v>4.3090000000000002</v>
      </c>
    </row>
    <row r="583" spans="1:4" x14ac:dyDescent="0.2">
      <c r="A583" s="3">
        <v>40774</v>
      </c>
      <c r="B583" s="1">
        <v>1</v>
      </c>
      <c r="C583" s="22">
        <v>1.0941000000000001</v>
      </c>
      <c r="D583" s="32">
        <f t="shared" si="9"/>
        <v>1.0941000000000001</v>
      </c>
    </row>
    <row r="584" spans="1:4" x14ac:dyDescent="0.2">
      <c r="A584" s="3">
        <v>40775</v>
      </c>
      <c r="B584" s="1">
        <v>1</v>
      </c>
      <c r="C584" s="22">
        <v>1.7437</v>
      </c>
      <c r="D584" s="32">
        <f t="shared" si="9"/>
        <v>1.7437</v>
      </c>
    </row>
    <row r="585" spans="1:4" x14ac:dyDescent="0.2">
      <c r="A585" s="3">
        <v>40776</v>
      </c>
      <c r="B585" s="1">
        <v>11</v>
      </c>
      <c r="C585" s="22">
        <v>1.1298999999999999</v>
      </c>
      <c r="D585" s="32">
        <f t="shared" si="9"/>
        <v>12.428899999999999</v>
      </c>
    </row>
    <row r="586" spans="1:4" x14ac:dyDescent="0.2">
      <c r="A586" s="3">
        <v>40777</v>
      </c>
      <c r="B586" s="1">
        <v>10</v>
      </c>
      <c r="C586" s="22">
        <v>1.2278</v>
      </c>
      <c r="D586" s="32">
        <f t="shared" si="9"/>
        <v>12.278</v>
      </c>
    </row>
    <row r="587" spans="1:4" x14ac:dyDescent="0.2">
      <c r="A587" s="3">
        <v>40778</v>
      </c>
      <c r="B587" s="1">
        <v>5</v>
      </c>
      <c r="C587" s="22">
        <v>0.71150000000000002</v>
      </c>
      <c r="D587" s="32">
        <f t="shared" si="9"/>
        <v>3.5575000000000001</v>
      </c>
    </row>
    <row r="588" spans="1:4" x14ac:dyDescent="0.2">
      <c r="A588" s="3">
        <v>40779</v>
      </c>
      <c r="B588" s="1">
        <v>4</v>
      </c>
      <c r="C588" s="22">
        <v>0.45739999999999997</v>
      </c>
      <c r="D588" s="32">
        <f t="shared" si="9"/>
        <v>1.8295999999999999</v>
      </c>
    </row>
    <row r="589" spans="1:4" x14ac:dyDescent="0.2">
      <c r="A589" s="3">
        <v>40780</v>
      </c>
      <c r="B589" s="1">
        <v>3</v>
      </c>
      <c r="C589" s="22">
        <v>1.7647999999999999</v>
      </c>
      <c r="D589" s="32">
        <f t="shared" si="9"/>
        <v>5.2943999999999996</v>
      </c>
    </row>
    <row r="590" spans="1:4" x14ac:dyDescent="0.2">
      <c r="A590" s="3">
        <v>40781</v>
      </c>
      <c r="B590" s="1">
        <v>1</v>
      </c>
      <c r="C590" s="22">
        <v>2.1497000000000002</v>
      </c>
      <c r="D590" s="32">
        <f t="shared" si="9"/>
        <v>2.1497000000000002</v>
      </c>
    </row>
    <row r="591" spans="1:4" x14ac:dyDescent="0.2">
      <c r="A591" s="3">
        <v>40782</v>
      </c>
      <c r="B591" s="1">
        <v>7</v>
      </c>
      <c r="C591" s="22">
        <v>2.6644999999999999</v>
      </c>
      <c r="D591" s="32">
        <f t="shared" si="9"/>
        <v>18.651499999999999</v>
      </c>
    </row>
    <row r="592" spans="1:4" x14ac:dyDescent="0.2">
      <c r="A592" s="3">
        <v>40783</v>
      </c>
      <c r="B592" s="1">
        <v>8</v>
      </c>
      <c r="C592" s="22">
        <v>1.8201000000000001</v>
      </c>
      <c r="D592" s="32">
        <f t="shared" si="9"/>
        <v>14.5608</v>
      </c>
    </row>
    <row r="593" spans="1:4" x14ac:dyDescent="0.2">
      <c r="A593" s="3">
        <v>40784</v>
      </c>
      <c r="B593" s="1">
        <v>8</v>
      </c>
      <c r="C593" s="22">
        <v>3.2271999999999998</v>
      </c>
      <c r="D593" s="32">
        <f t="shared" si="9"/>
        <v>25.817599999999999</v>
      </c>
    </row>
    <row r="594" spans="1:4" x14ac:dyDescent="0.2">
      <c r="A594" s="3">
        <v>40785</v>
      </c>
      <c r="B594" s="1">
        <v>4</v>
      </c>
      <c r="C594" s="22">
        <v>0.76270000000000004</v>
      </c>
      <c r="D594" s="32">
        <f t="shared" si="9"/>
        <v>3.0508000000000002</v>
      </c>
    </row>
    <row r="595" spans="1:4" x14ac:dyDescent="0.2">
      <c r="A595" s="3">
        <v>40786</v>
      </c>
      <c r="B595" s="1">
        <v>1</v>
      </c>
      <c r="C595" s="22">
        <v>0.87649999999999995</v>
      </c>
      <c r="D595" s="32">
        <f t="shared" si="9"/>
        <v>0.87649999999999995</v>
      </c>
    </row>
    <row r="596" spans="1:4" x14ac:dyDescent="0.2">
      <c r="A596" s="3">
        <v>40787</v>
      </c>
      <c r="B596" s="1">
        <v>5</v>
      </c>
      <c r="C596" s="22">
        <v>1.2157</v>
      </c>
      <c r="D596" s="32">
        <f t="shared" si="9"/>
        <v>6.0785</v>
      </c>
    </row>
    <row r="597" spans="1:4" x14ac:dyDescent="0.2">
      <c r="A597" s="3">
        <v>40788</v>
      </c>
      <c r="B597" s="1">
        <v>6</v>
      </c>
      <c r="C597" s="22">
        <v>1.2935000000000001</v>
      </c>
      <c r="D597" s="32">
        <f t="shared" si="9"/>
        <v>7.761000000000001</v>
      </c>
    </row>
    <row r="598" spans="1:4" x14ac:dyDescent="0.2">
      <c r="A598" s="3">
        <v>40789</v>
      </c>
      <c r="B598" s="1">
        <v>1</v>
      </c>
      <c r="C598" s="22">
        <v>1.3613</v>
      </c>
      <c r="D598" s="32">
        <f t="shared" si="9"/>
        <v>1.3613</v>
      </c>
    </row>
    <row r="599" spans="1:4" x14ac:dyDescent="0.2">
      <c r="A599" s="3">
        <v>40790</v>
      </c>
      <c r="B599" s="1">
        <v>3</v>
      </c>
      <c r="C599" s="22">
        <v>0.32950000000000002</v>
      </c>
      <c r="D599" s="32">
        <f t="shared" si="9"/>
        <v>0.98850000000000005</v>
      </c>
    </row>
    <row r="600" spans="1:4" x14ac:dyDescent="0.2">
      <c r="A600" s="3">
        <v>40791</v>
      </c>
      <c r="B600" s="1">
        <v>1</v>
      </c>
      <c r="C600" s="22">
        <v>0.64939999999999998</v>
      </c>
      <c r="D600" s="32">
        <f t="shared" si="9"/>
        <v>0.64939999999999998</v>
      </c>
    </row>
    <row r="601" spans="1:4" x14ac:dyDescent="0.2">
      <c r="A601" s="3">
        <v>40792</v>
      </c>
      <c r="B601" s="1">
        <v>4</v>
      </c>
      <c r="C601" s="22">
        <v>1.212</v>
      </c>
      <c r="D601" s="32">
        <f t="shared" si="9"/>
        <v>4.8479999999999999</v>
      </c>
    </row>
    <row r="602" spans="1:4" x14ac:dyDescent="0.2">
      <c r="A602" s="3">
        <v>40793</v>
      </c>
      <c r="B602" s="1">
        <v>8</v>
      </c>
      <c r="C602" s="22">
        <v>0.42380000000000001</v>
      </c>
      <c r="D602" s="32">
        <f t="shared" si="9"/>
        <v>3.3904000000000001</v>
      </c>
    </row>
    <row r="603" spans="1:4" x14ac:dyDescent="0.2">
      <c r="A603" s="3">
        <v>40794</v>
      </c>
      <c r="B603" s="1">
        <v>6</v>
      </c>
      <c r="C603" s="22">
        <v>0.29849999999999999</v>
      </c>
      <c r="D603" s="32">
        <f t="shared" si="9"/>
        <v>1.7909999999999999</v>
      </c>
    </row>
    <row r="604" spans="1:4" x14ac:dyDescent="0.2">
      <c r="A604" s="3">
        <v>40795</v>
      </c>
      <c r="B604" s="1">
        <v>8</v>
      </c>
      <c r="C604" s="22">
        <v>1.1632</v>
      </c>
      <c r="D604" s="32">
        <f t="shared" si="9"/>
        <v>9.3056000000000001</v>
      </c>
    </row>
    <row r="605" spans="1:4" x14ac:dyDescent="0.2">
      <c r="A605" s="3">
        <v>40796</v>
      </c>
      <c r="B605" s="1">
        <v>9</v>
      </c>
      <c r="C605" s="22">
        <v>1.9146000000000001</v>
      </c>
      <c r="D605" s="32">
        <f t="shared" si="9"/>
        <v>17.231400000000001</v>
      </c>
    </row>
    <row r="606" spans="1:4" x14ac:dyDescent="0.2">
      <c r="A606" s="3">
        <v>40797</v>
      </c>
      <c r="B606" s="1">
        <v>3</v>
      </c>
      <c r="C606" s="22">
        <v>2.4912999999999998</v>
      </c>
      <c r="D606" s="32">
        <f t="shared" si="9"/>
        <v>7.4738999999999995</v>
      </c>
    </row>
    <row r="607" spans="1:4" x14ac:dyDescent="0.2">
      <c r="A607" s="3">
        <v>40798</v>
      </c>
      <c r="B607" s="1">
        <v>5</v>
      </c>
      <c r="C607" s="22">
        <v>0.28460000000000002</v>
      </c>
      <c r="D607" s="32">
        <f t="shared" si="9"/>
        <v>1.423</v>
      </c>
    </row>
    <row r="608" spans="1:4" x14ac:dyDescent="0.2">
      <c r="A608" s="3">
        <v>40799</v>
      </c>
      <c r="B608" s="1">
        <v>9</v>
      </c>
      <c r="C608" s="22">
        <v>0.9526</v>
      </c>
      <c r="D608" s="32">
        <f t="shared" si="9"/>
        <v>8.5733999999999995</v>
      </c>
    </row>
    <row r="609" spans="1:4" x14ac:dyDescent="0.2">
      <c r="A609" s="3">
        <v>40800</v>
      </c>
      <c r="B609" s="1">
        <v>7</v>
      </c>
      <c r="C609" s="22">
        <v>1.0641</v>
      </c>
      <c r="D609" s="32">
        <f t="shared" si="9"/>
        <v>7.4487000000000005</v>
      </c>
    </row>
    <row r="610" spans="1:4" x14ac:dyDescent="0.2">
      <c r="A610" s="3">
        <v>40801</v>
      </c>
      <c r="B610" s="1">
        <v>1</v>
      </c>
      <c r="C610" s="22">
        <v>0.4461</v>
      </c>
      <c r="D610" s="32">
        <f t="shared" si="9"/>
        <v>0.4461</v>
      </c>
    </row>
    <row r="611" spans="1:4" x14ac:dyDescent="0.2">
      <c r="A611" s="3">
        <v>40802</v>
      </c>
      <c r="B611" s="1">
        <v>9</v>
      </c>
      <c r="C611" s="22">
        <v>1.8159000000000001</v>
      </c>
      <c r="D611" s="32">
        <f t="shared" si="9"/>
        <v>16.3431</v>
      </c>
    </row>
    <row r="612" spans="1:4" x14ac:dyDescent="0.2">
      <c r="A612" s="3">
        <v>40803</v>
      </c>
      <c r="B612" s="1">
        <v>1</v>
      </c>
      <c r="C612" s="22">
        <v>6.7248000000000001</v>
      </c>
      <c r="D612" s="32">
        <f t="shared" si="9"/>
        <v>6.7248000000000001</v>
      </c>
    </row>
    <row r="613" spans="1:4" x14ac:dyDescent="0.2">
      <c r="A613" s="3">
        <v>40804</v>
      </c>
      <c r="B613" s="1">
        <v>3</v>
      </c>
      <c r="C613" s="22">
        <v>1.4053</v>
      </c>
      <c r="D613" s="32">
        <f t="shared" si="9"/>
        <v>4.2158999999999995</v>
      </c>
    </row>
    <row r="614" spans="1:4" x14ac:dyDescent="0.2">
      <c r="A614" s="3">
        <v>40805</v>
      </c>
      <c r="B614" s="1">
        <v>6</v>
      </c>
      <c r="C614" s="22">
        <v>3.3208000000000002</v>
      </c>
      <c r="D614" s="32">
        <f t="shared" si="9"/>
        <v>19.924800000000001</v>
      </c>
    </row>
    <row r="615" spans="1:4" x14ac:dyDescent="0.2">
      <c r="A615" s="3">
        <v>40806</v>
      </c>
      <c r="B615" s="1">
        <v>7</v>
      </c>
      <c r="C615" s="22">
        <v>5.4352999999999998</v>
      </c>
      <c r="D615" s="32">
        <f t="shared" si="9"/>
        <v>38.0471</v>
      </c>
    </row>
    <row r="616" spans="1:4" x14ac:dyDescent="0.2">
      <c r="A616" s="3">
        <v>40807</v>
      </c>
      <c r="B616" s="1">
        <v>2</v>
      </c>
      <c r="C616" s="22">
        <v>0.7651</v>
      </c>
      <c r="D616" s="32">
        <f t="shared" si="9"/>
        <v>1.5302</v>
      </c>
    </row>
    <row r="617" spans="1:4" x14ac:dyDescent="0.2">
      <c r="A617" s="3">
        <v>40808</v>
      </c>
      <c r="B617" s="1">
        <v>6</v>
      </c>
      <c r="C617" s="22">
        <v>9.2813999999999997</v>
      </c>
      <c r="D617" s="32">
        <f t="shared" si="9"/>
        <v>55.688400000000001</v>
      </c>
    </row>
    <row r="618" spans="1:4" x14ac:dyDescent="0.2">
      <c r="A618" s="3">
        <v>40809</v>
      </c>
      <c r="B618" s="1">
        <v>4</v>
      </c>
      <c r="C618" s="22">
        <v>0.50970000000000004</v>
      </c>
      <c r="D618" s="32">
        <f t="shared" si="9"/>
        <v>2.0388000000000002</v>
      </c>
    </row>
    <row r="619" spans="1:4" x14ac:dyDescent="0.2">
      <c r="A619" s="3">
        <v>40810</v>
      </c>
      <c r="B619" s="1">
        <v>9</v>
      </c>
      <c r="C619" s="22">
        <v>1.3224</v>
      </c>
      <c r="D619" s="32">
        <f t="shared" si="9"/>
        <v>11.9016</v>
      </c>
    </row>
    <row r="620" spans="1:4" x14ac:dyDescent="0.2">
      <c r="A620" s="3">
        <v>40811</v>
      </c>
      <c r="B620" s="1">
        <v>7</v>
      </c>
      <c r="C620" s="22">
        <v>0.38279999999999997</v>
      </c>
      <c r="D620" s="32">
        <f t="shared" si="9"/>
        <v>2.6795999999999998</v>
      </c>
    </row>
    <row r="621" spans="1:4" x14ac:dyDescent="0.2">
      <c r="A621" s="3">
        <v>40812</v>
      </c>
      <c r="B621" s="1">
        <v>9</v>
      </c>
      <c r="C621" s="22">
        <v>0.60729999999999995</v>
      </c>
      <c r="D621" s="32">
        <f t="shared" si="9"/>
        <v>5.4657</v>
      </c>
    </row>
    <row r="622" spans="1:4" x14ac:dyDescent="0.2">
      <c r="A622" s="3">
        <v>40813</v>
      </c>
      <c r="B622" s="1">
        <v>1</v>
      </c>
      <c r="C622" s="22">
        <v>1.1836</v>
      </c>
      <c r="D622" s="32">
        <f t="shared" si="9"/>
        <v>1.1836</v>
      </c>
    </row>
    <row r="623" spans="1:4" x14ac:dyDescent="0.2">
      <c r="A623" s="3">
        <v>40814</v>
      </c>
      <c r="B623" s="1">
        <v>2</v>
      </c>
      <c r="C623" s="22">
        <v>2.1429999999999998</v>
      </c>
      <c r="D623" s="32">
        <f t="shared" si="9"/>
        <v>4.2859999999999996</v>
      </c>
    </row>
    <row r="624" spans="1:4" x14ac:dyDescent="0.2">
      <c r="A624" s="3">
        <v>40815</v>
      </c>
      <c r="B624" s="1">
        <v>1</v>
      </c>
      <c r="C624" s="22">
        <v>6.5381</v>
      </c>
      <c r="D624" s="32">
        <f t="shared" si="9"/>
        <v>6.5381</v>
      </c>
    </row>
    <row r="625" spans="1:4" x14ac:dyDescent="0.2">
      <c r="A625" s="3">
        <v>40816</v>
      </c>
      <c r="B625" s="1">
        <v>4</v>
      </c>
      <c r="C625" s="22">
        <v>0.72629999999999995</v>
      </c>
      <c r="D625" s="32">
        <f t="shared" si="9"/>
        <v>2.9051999999999998</v>
      </c>
    </row>
    <row r="626" spans="1:4" x14ac:dyDescent="0.2">
      <c r="A626" s="3">
        <v>40817</v>
      </c>
      <c r="B626" s="1">
        <v>6</v>
      </c>
      <c r="C626" s="22">
        <v>5.7256999999999998</v>
      </c>
      <c r="D626" s="32">
        <f t="shared" si="9"/>
        <v>34.354199999999999</v>
      </c>
    </row>
    <row r="627" spans="1:4" x14ac:dyDescent="0.2">
      <c r="A627" s="3">
        <v>40818</v>
      </c>
      <c r="B627" s="1">
        <v>3</v>
      </c>
      <c r="C627" s="22">
        <v>0.70440000000000003</v>
      </c>
      <c r="D627" s="32">
        <f t="shared" si="9"/>
        <v>2.1132</v>
      </c>
    </row>
    <row r="628" spans="1:4" x14ac:dyDescent="0.2">
      <c r="A628" s="3">
        <v>40819</v>
      </c>
      <c r="B628" s="1">
        <v>5</v>
      </c>
      <c r="C628" s="22">
        <v>0.68420000000000003</v>
      </c>
      <c r="D628" s="32">
        <f t="shared" si="9"/>
        <v>3.4210000000000003</v>
      </c>
    </row>
    <row r="629" spans="1:4" x14ac:dyDescent="0.2">
      <c r="A629" s="3">
        <v>40820</v>
      </c>
      <c r="B629" s="1">
        <v>8</v>
      </c>
      <c r="C629" s="22">
        <v>2.4870000000000001</v>
      </c>
      <c r="D629" s="32">
        <f t="shared" si="9"/>
        <v>19.896000000000001</v>
      </c>
    </row>
    <row r="630" spans="1:4" x14ac:dyDescent="0.2">
      <c r="A630" s="3">
        <v>40821</v>
      </c>
      <c r="B630" s="1">
        <v>8</v>
      </c>
      <c r="C630" s="22">
        <v>5.9229000000000003</v>
      </c>
      <c r="D630" s="32">
        <f t="shared" si="9"/>
        <v>47.383200000000002</v>
      </c>
    </row>
    <row r="631" spans="1:4" x14ac:dyDescent="0.2">
      <c r="A631" s="3">
        <v>40822</v>
      </c>
      <c r="B631" s="1">
        <v>2</v>
      </c>
      <c r="C631" s="22">
        <v>1.6536999999999999</v>
      </c>
      <c r="D631" s="32">
        <f t="shared" si="9"/>
        <v>3.3073999999999999</v>
      </c>
    </row>
    <row r="632" spans="1:4" x14ac:dyDescent="0.2">
      <c r="A632" s="3">
        <v>40823</v>
      </c>
      <c r="B632" s="1">
        <v>1</v>
      </c>
      <c r="C632" s="22">
        <v>0.34200000000000003</v>
      </c>
      <c r="D632" s="32">
        <f t="shared" si="9"/>
        <v>0.34200000000000003</v>
      </c>
    </row>
    <row r="633" spans="1:4" x14ac:dyDescent="0.2">
      <c r="A633" s="3">
        <v>40824</v>
      </c>
      <c r="B633" s="1">
        <v>5</v>
      </c>
      <c r="C633" s="22">
        <v>1.5114000000000001</v>
      </c>
      <c r="D633" s="32">
        <f t="shared" si="9"/>
        <v>7.5570000000000004</v>
      </c>
    </row>
    <row r="634" spans="1:4" x14ac:dyDescent="0.2">
      <c r="A634" s="3">
        <v>40825</v>
      </c>
      <c r="B634" s="1">
        <v>8</v>
      </c>
      <c r="C634" s="22">
        <v>6.0313999999999997</v>
      </c>
      <c r="D634" s="32">
        <f t="shared" si="9"/>
        <v>48.251199999999997</v>
      </c>
    </row>
    <row r="635" spans="1:4" x14ac:dyDescent="0.2">
      <c r="A635" s="3">
        <v>40826</v>
      </c>
      <c r="B635" s="1">
        <v>6</v>
      </c>
      <c r="C635" s="22">
        <v>1.7129000000000001</v>
      </c>
      <c r="D635" s="32">
        <f t="shared" si="9"/>
        <v>10.2774</v>
      </c>
    </row>
    <row r="636" spans="1:4" x14ac:dyDescent="0.2">
      <c r="A636" s="3">
        <v>40827</v>
      </c>
      <c r="B636" s="1">
        <v>5</v>
      </c>
      <c r="C636" s="22">
        <v>4.2606000000000002</v>
      </c>
      <c r="D636" s="32">
        <f t="shared" si="9"/>
        <v>21.303000000000001</v>
      </c>
    </row>
    <row r="637" spans="1:4" x14ac:dyDescent="0.2">
      <c r="A637" s="3">
        <v>40828</v>
      </c>
      <c r="B637" s="1">
        <v>4</v>
      </c>
      <c r="C637" s="22">
        <v>1.4071</v>
      </c>
      <c r="D637" s="32">
        <f t="shared" si="9"/>
        <v>5.6284000000000001</v>
      </c>
    </row>
    <row r="638" spans="1:4" x14ac:dyDescent="0.2">
      <c r="A638" s="3">
        <v>40829</v>
      </c>
      <c r="B638" s="1">
        <v>4</v>
      </c>
      <c r="C638" s="22">
        <v>0.3362</v>
      </c>
      <c r="D638" s="32">
        <f t="shared" si="9"/>
        <v>1.3448</v>
      </c>
    </row>
    <row r="639" spans="1:4" x14ac:dyDescent="0.2">
      <c r="A639" s="3">
        <v>40830</v>
      </c>
      <c r="B639" s="1">
        <v>9</v>
      </c>
      <c r="C639" s="22">
        <v>2.7957000000000001</v>
      </c>
      <c r="D639" s="32">
        <f t="shared" si="9"/>
        <v>25.161300000000001</v>
      </c>
    </row>
    <row r="640" spans="1:4" x14ac:dyDescent="0.2">
      <c r="A640" s="3">
        <v>40831</v>
      </c>
      <c r="B640" s="1">
        <v>2</v>
      </c>
      <c r="C640" s="22">
        <v>1.1927000000000001</v>
      </c>
      <c r="D640" s="32">
        <f t="shared" si="9"/>
        <v>2.3854000000000002</v>
      </c>
    </row>
    <row r="641" spans="1:4" x14ac:dyDescent="0.2">
      <c r="A641" s="3">
        <v>40832</v>
      </c>
      <c r="B641" s="1">
        <v>8</v>
      </c>
      <c r="C641" s="22">
        <v>0.255</v>
      </c>
      <c r="D641" s="32">
        <f t="shared" si="9"/>
        <v>2.04</v>
      </c>
    </row>
    <row r="642" spans="1:4" x14ac:dyDescent="0.2">
      <c r="A642" s="3">
        <v>40833</v>
      </c>
      <c r="B642" s="1">
        <v>6</v>
      </c>
      <c r="C642" s="22">
        <v>5.3014000000000001</v>
      </c>
      <c r="D642" s="32">
        <f t="shared" si="9"/>
        <v>31.808399999999999</v>
      </c>
    </row>
    <row r="643" spans="1:4" x14ac:dyDescent="0.2">
      <c r="A643" s="3">
        <v>40834</v>
      </c>
      <c r="B643" s="1">
        <v>5</v>
      </c>
      <c r="C643" s="22">
        <v>1.895</v>
      </c>
      <c r="D643" s="32">
        <f t="shared" si="9"/>
        <v>9.4749999999999996</v>
      </c>
    </row>
    <row r="644" spans="1:4" x14ac:dyDescent="0.2">
      <c r="A644" s="3">
        <v>40835</v>
      </c>
      <c r="B644" s="1">
        <v>9</v>
      </c>
      <c r="C644" s="22">
        <v>1.58</v>
      </c>
      <c r="D644" s="32">
        <f t="shared" ref="D644:D703" si="10">B644*C644</f>
        <v>14.22</v>
      </c>
    </row>
    <row r="645" spans="1:4" x14ac:dyDescent="0.2">
      <c r="A645" s="3">
        <v>40836</v>
      </c>
      <c r="B645" s="1">
        <v>8</v>
      </c>
      <c r="C645" s="22">
        <v>2.2073999999999998</v>
      </c>
      <c r="D645" s="32">
        <f t="shared" si="10"/>
        <v>17.659199999999998</v>
      </c>
    </row>
    <row r="646" spans="1:4" x14ac:dyDescent="0.2">
      <c r="A646" s="3">
        <v>40837</v>
      </c>
      <c r="B646" s="1">
        <v>3</v>
      </c>
      <c r="C646" s="22">
        <v>6.4362000000000004</v>
      </c>
      <c r="D646" s="32">
        <f t="shared" si="10"/>
        <v>19.308600000000002</v>
      </c>
    </row>
    <row r="647" spans="1:4" x14ac:dyDescent="0.2">
      <c r="A647" s="3">
        <v>40838</v>
      </c>
      <c r="B647" s="1">
        <v>6</v>
      </c>
      <c r="C647" s="22">
        <v>4.6921999999999997</v>
      </c>
      <c r="D647" s="32">
        <f t="shared" si="10"/>
        <v>28.153199999999998</v>
      </c>
    </row>
    <row r="648" spans="1:4" x14ac:dyDescent="0.2">
      <c r="A648" s="3">
        <v>40839</v>
      </c>
      <c r="B648" s="1">
        <v>3</v>
      </c>
      <c r="C648" s="22">
        <v>1.2554000000000001</v>
      </c>
      <c r="D648" s="32">
        <f t="shared" si="10"/>
        <v>3.7662000000000004</v>
      </c>
    </row>
    <row r="649" spans="1:4" x14ac:dyDescent="0.2">
      <c r="A649" s="3">
        <v>40840</v>
      </c>
      <c r="B649" s="1">
        <v>2</v>
      </c>
      <c r="C649" s="22">
        <v>0.70579999999999998</v>
      </c>
      <c r="D649" s="32">
        <f t="shared" si="10"/>
        <v>1.4116</v>
      </c>
    </row>
    <row r="650" spans="1:4" x14ac:dyDescent="0.2">
      <c r="A650" s="3">
        <v>40841</v>
      </c>
      <c r="B650" s="1">
        <v>10</v>
      </c>
      <c r="C650" s="22">
        <v>0.38619999999999999</v>
      </c>
      <c r="D650" s="32">
        <f t="shared" si="10"/>
        <v>3.8620000000000001</v>
      </c>
    </row>
    <row r="651" spans="1:4" x14ac:dyDescent="0.2">
      <c r="A651" s="3">
        <v>40842</v>
      </c>
      <c r="B651" s="1">
        <v>9</v>
      </c>
      <c r="C651" s="22">
        <v>2.6128999999999998</v>
      </c>
      <c r="D651" s="32">
        <f t="shared" si="10"/>
        <v>23.516099999999998</v>
      </c>
    </row>
    <row r="652" spans="1:4" x14ac:dyDescent="0.2">
      <c r="A652" s="3">
        <v>40843</v>
      </c>
      <c r="B652" s="1">
        <v>3</v>
      </c>
      <c r="C652" s="22">
        <v>3.7667999999999999</v>
      </c>
      <c r="D652" s="32">
        <f t="shared" si="10"/>
        <v>11.3004</v>
      </c>
    </row>
    <row r="653" spans="1:4" x14ac:dyDescent="0.2">
      <c r="A653" s="3">
        <v>40844</v>
      </c>
      <c r="B653" s="1">
        <v>5</v>
      </c>
      <c r="C653" s="22">
        <v>3.1518000000000002</v>
      </c>
      <c r="D653" s="32">
        <f t="shared" si="10"/>
        <v>15.759</v>
      </c>
    </row>
    <row r="654" spans="1:4" x14ac:dyDescent="0.2">
      <c r="A654" s="3">
        <v>40845</v>
      </c>
      <c r="B654" s="1">
        <v>1</v>
      </c>
      <c r="C654" s="22">
        <v>0.80879999999999996</v>
      </c>
      <c r="D654" s="32">
        <f t="shared" si="10"/>
        <v>0.80879999999999996</v>
      </c>
    </row>
    <row r="655" spans="1:4" x14ac:dyDescent="0.2">
      <c r="A655" s="3">
        <v>40846</v>
      </c>
      <c r="B655" s="1">
        <v>6</v>
      </c>
      <c r="C655" s="22">
        <v>0.58379999999999999</v>
      </c>
      <c r="D655" s="32">
        <f t="shared" si="10"/>
        <v>3.5027999999999997</v>
      </c>
    </row>
    <row r="656" spans="1:4" x14ac:dyDescent="0.2">
      <c r="A656" s="3">
        <v>40847</v>
      </c>
      <c r="B656" s="1">
        <v>6</v>
      </c>
      <c r="C656" s="22">
        <v>1.3117000000000001</v>
      </c>
      <c r="D656" s="32">
        <f t="shared" si="10"/>
        <v>7.8702000000000005</v>
      </c>
    </row>
    <row r="657" spans="1:4" x14ac:dyDescent="0.2">
      <c r="A657" s="3">
        <v>40848</v>
      </c>
      <c r="B657" s="1">
        <v>9</v>
      </c>
      <c r="C657" s="22">
        <v>2.0891000000000002</v>
      </c>
      <c r="D657" s="32">
        <f t="shared" si="10"/>
        <v>18.801900000000003</v>
      </c>
    </row>
    <row r="658" spans="1:4" x14ac:dyDescent="0.2">
      <c r="A658" s="3">
        <v>40849</v>
      </c>
      <c r="B658" s="1">
        <v>1</v>
      </c>
      <c r="C658" s="22">
        <v>2.8582999999999998</v>
      </c>
      <c r="D658" s="32">
        <f t="shared" si="10"/>
        <v>2.8582999999999998</v>
      </c>
    </row>
    <row r="659" spans="1:4" x14ac:dyDescent="0.2">
      <c r="A659" s="3">
        <v>40850</v>
      </c>
      <c r="B659" s="1">
        <v>1</v>
      </c>
      <c r="C659" s="22">
        <v>8.4392999999999994</v>
      </c>
      <c r="D659" s="32">
        <f t="shared" si="10"/>
        <v>8.4392999999999994</v>
      </c>
    </row>
    <row r="660" spans="1:4" x14ac:dyDescent="0.2">
      <c r="A660" s="3">
        <v>40851</v>
      </c>
      <c r="B660" s="1">
        <v>5</v>
      </c>
      <c r="C660" s="22">
        <v>3.8573</v>
      </c>
      <c r="D660" s="32">
        <f t="shared" si="10"/>
        <v>19.2865</v>
      </c>
    </row>
    <row r="661" spans="1:4" x14ac:dyDescent="0.2">
      <c r="A661" s="3">
        <v>40852</v>
      </c>
      <c r="B661" s="1">
        <v>10</v>
      </c>
      <c r="C661" s="22">
        <v>0.42199999999999999</v>
      </c>
      <c r="D661" s="32">
        <f t="shared" si="10"/>
        <v>4.22</v>
      </c>
    </row>
    <row r="662" spans="1:4" x14ac:dyDescent="0.2">
      <c r="A662" s="3">
        <v>40853</v>
      </c>
      <c r="B662" s="1">
        <v>2</v>
      </c>
      <c r="C662" s="22">
        <v>0.42620000000000002</v>
      </c>
      <c r="D662" s="32">
        <f t="shared" si="10"/>
        <v>0.85240000000000005</v>
      </c>
    </row>
    <row r="663" spans="1:4" x14ac:dyDescent="0.2">
      <c r="A663" s="3">
        <v>40854</v>
      </c>
      <c r="B663" s="1">
        <v>7</v>
      </c>
      <c r="C663" s="22">
        <v>1.8302</v>
      </c>
      <c r="D663" s="32">
        <f t="shared" si="10"/>
        <v>12.811400000000001</v>
      </c>
    </row>
    <row r="664" spans="1:4" x14ac:dyDescent="0.2">
      <c r="A664" s="3">
        <v>40855</v>
      </c>
      <c r="B664" s="1">
        <v>6</v>
      </c>
      <c r="C664" s="22">
        <v>3.3016999999999999</v>
      </c>
      <c r="D664" s="32">
        <f t="shared" si="10"/>
        <v>19.810199999999998</v>
      </c>
    </row>
    <row r="665" spans="1:4" x14ac:dyDescent="0.2">
      <c r="A665" s="3">
        <v>40856</v>
      </c>
      <c r="B665" s="1">
        <v>3</v>
      </c>
      <c r="C665" s="22">
        <v>0.35199999999999998</v>
      </c>
      <c r="D665" s="32">
        <f t="shared" si="10"/>
        <v>1.056</v>
      </c>
    </row>
    <row r="666" spans="1:4" x14ac:dyDescent="0.2">
      <c r="A666" s="3">
        <v>40857</v>
      </c>
      <c r="B666" s="1">
        <v>9</v>
      </c>
      <c r="C666" s="22">
        <v>0.34560000000000002</v>
      </c>
      <c r="D666" s="32">
        <f t="shared" si="10"/>
        <v>3.1104000000000003</v>
      </c>
    </row>
    <row r="667" spans="1:4" x14ac:dyDescent="0.2">
      <c r="A667" s="3">
        <v>40858</v>
      </c>
      <c r="B667" s="1">
        <v>4</v>
      </c>
      <c r="C667" s="22">
        <v>0.33710000000000001</v>
      </c>
      <c r="D667" s="32">
        <f t="shared" si="10"/>
        <v>1.3484</v>
      </c>
    </row>
    <row r="668" spans="1:4" x14ac:dyDescent="0.2">
      <c r="A668" s="3">
        <v>40859</v>
      </c>
      <c r="B668" s="1">
        <v>5</v>
      </c>
      <c r="C668" s="22">
        <v>0.24199999999999999</v>
      </c>
      <c r="D668" s="32">
        <f t="shared" si="10"/>
        <v>1.21</v>
      </c>
    </row>
    <row r="669" spans="1:4" x14ac:dyDescent="0.2">
      <c r="A669" s="3">
        <v>40860</v>
      </c>
      <c r="B669" s="1">
        <v>7</v>
      </c>
      <c r="C669" s="22">
        <v>1.1688000000000001</v>
      </c>
      <c r="D669" s="32">
        <f t="shared" si="10"/>
        <v>8.1815999999999995</v>
      </c>
    </row>
    <row r="670" spans="1:4" x14ac:dyDescent="0.2">
      <c r="A670" s="3">
        <v>40861</v>
      </c>
      <c r="B670" s="1">
        <v>7</v>
      </c>
      <c r="C670" s="22">
        <v>1.4468000000000001</v>
      </c>
      <c r="D670" s="32">
        <f t="shared" si="10"/>
        <v>10.127600000000001</v>
      </c>
    </row>
    <row r="671" spans="1:4" x14ac:dyDescent="0.2">
      <c r="A671" s="3">
        <v>40862</v>
      </c>
      <c r="B671" s="1">
        <v>4</v>
      </c>
      <c r="C671" s="22">
        <v>0.67820000000000003</v>
      </c>
      <c r="D671" s="32">
        <f t="shared" si="10"/>
        <v>2.7128000000000001</v>
      </c>
    </row>
    <row r="672" spans="1:4" x14ac:dyDescent="0.2">
      <c r="A672" s="3">
        <v>40863</v>
      </c>
      <c r="B672" s="1">
        <v>10</v>
      </c>
      <c r="C672" s="22">
        <v>0.28239999999999998</v>
      </c>
      <c r="D672" s="32">
        <f t="shared" si="10"/>
        <v>2.8239999999999998</v>
      </c>
    </row>
    <row r="673" spans="1:4" x14ac:dyDescent="0.2">
      <c r="A673" s="3">
        <v>40864</v>
      </c>
      <c r="B673" s="1">
        <v>5</v>
      </c>
      <c r="C673" s="22">
        <v>1.9283999999999999</v>
      </c>
      <c r="D673" s="32">
        <f t="shared" si="10"/>
        <v>9.6419999999999995</v>
      </c>
    </row>
    <row r="674" spans="1:4" x14ac:dyDescent="0.2">
      <c r="A674" s="3">
        <v>40865</v>
      </c>
      <c r="B674" s="1">
        <v>7</v>
      </c>
      <c r="C674" s="22">
        <v>1.4132</v>
      </c>
      <c r="D674" s="32">
        <f t="shared" si="10"/>
        <v>9.8924000000000003</v>
      </c>
    </row>
    <row r="675" spans="1:4" x14ac:dyDescent="0.2">
      <c r="A675" s="3">
        <v>40866</v>
      </c>
      <c r="B675" s="1">
        <v>5</v>
      </c>
      <c r="C675" s="22">
        <v>0.36330000000000001</v>
      </c>
      <c r="D675" s="32">
        <f t="shared" si="10"/>
        <v>1.8165</v>
      </c>
    </row>
    <row r="676" spans="1:4" x14ac:dyDescent="0.2">
      <c r="A676" s="3">
        <v>40867</v>
      </c>
      <c r="B676" s="1">
        <v>5</v>
      </c>
      <c r="C676" s="22">
        <v>0.34489999999999998</v>
      </c>
      <c r="D676" s="32">
        <f t="shared" si="10"/>
        <v>1.7244999999999999</v>
      </c>
    </row>
    <row r="677" spans="1:4" x14ac:dyDescent="0.2">
      <c r="A677" s="3">
        <v>40868</v>
      </c>
      <c r="B677" s="1">
        <v>6</v>
      </c>
      <c r="C677" s="22">
        <v>0.2016</v>
      </c>
      <c r="D677" s="32">
        <f t="shared" si="10"/>
        <v>1.2096</v>
      </c>
    </row>
    <row r="678" spans="1:4" x14ac:dyDescent="0.2">
      <c r="A678" s="3">
        <v>40869</v>
      </c>
      <c r="B678" s="1">
        <v>6</v>
      </c>
      <c r="C678" s="22">
        <v>3.71</v>
      </c>
      <c r="D678" s="32">
        <f t="shared" si="10"/>
        <v>22.259999999999998</v>
      </c>
    </row>
    <row r="679" spans="1:4" x14ac:dyDescent="0.2">
      <c r="A679" s="3">
        <v>40870</v>
      </c>
      <c r="B679" s="1">
        <v>4</v>
      </c>
      <c r="C679" s="22">
        <v>4.0125999999999999</v>
      </c>
      <c r="D679" s="32">
        <f t="shared" si="10"/>
        <v>16.0504</v>
      </c>
    </row>
    <row r="680" spans="1:4" x14ac:dyDescent="0.2">
      <c r="A680" s="3">
        <v>40871</v>
      </c>
      <c r="B680" s="1">
        <v>4</v>
      </c>
      <c r="C680" s="22">
        <v>1.2833000000000001</v>
      </c>
      <c r="D680" s="32">
        <f t="shared" si="10"/>
        <v>5.1332000000000004</v>
      </c>
    </row>
    <row r="681" spans="1:4" x14ac:dyDescent="0.2">
      <c r="A681" s="3">
        <v>40872</v>
      </c>
      <c r="B681" s="1">
        <v>10</v>
      </c>
      <c r="C681" s="22">
        <v>2.2715000000000001</v>
      </c>
      <c r="D681" s="32">
        <f t="shared" si="10"/>
        <v>22.715</v>
      </c>
    </row>
    <row r="682" spans="1:4" x14ac:dyDescent="0.2">
      <c r="A682" s="3">
        <v>40873</v>
      </c>
      <c r="B682" s="1">
        <v>8</v>
      </c>
      <c r="C682" s="22">
        <v>1.2958000000000001</v>
      </c>
      <c r="D682" s="32">
        <f t="shared" si="10"/>
        <v>10.366400000000001</v>
      </c>
    </row>
    <row r="683" spans="1:4" x14ac:dyDescent="0.2">
      <c r="A683" s="3">
        <v>40874</v>
      </c>
      <c r="B683" s="1">
        <v>5</v>
      </c>
      <c r="C683" s="22">
        <v>1.3409</v>
      </c>
      <c r="D683" s="32">
        <f t="shared" si="10"/>
        <v>6.7044999999999995</v>
      </c>
    </row>
    <row r="684" spans="1:4" x14ac:dyDescent="0.2">
      <c r="A684" s="3">
        <v>40875</v>
      </c>
      <c r="B684" s="1">
        <v>1</v>
      </c>
      <c r="C684" s="22">
        <v>1.2962</v>
      </c>
      <c r="D684" s="32">
        <f t="shared" si="10"/>
        <v>1.2962</v>
      </c>
    </row>
    <row r="685" spans="1:4" x14ac:dyDescent="0.2">
      <c r="A685" s="3">
        <v>40876</v>
      </c>
      <c r="B685" s="1">
        <v>1</v>
      </c>
      <c r="C685" s="22">
        <v>3.5568</v>
      </c>
      <c r="D685" s="32">
        <f t="shared" si="10"/>
        <v>3.5568</v>
      </c>
    </row>
    <row r="686" spans="1:4" x14ac:dyDescent="0.2">
      <c r="A686" s="3">
        <v>40877</v>
      </c>
      <c r="B686" s="1">
        <v>1</v>
      </c>
      <c r="C686" s="22">
        <v>0.86919999999999997</v>
      </c>
      <c r="D686" s="32">
        <f t="shared" si="10"/>
        <v>0.86919999999999997</v>
      </c>
    </row>
    <row r="687" spans="1:4" x14ac:dyDescent="0.2">
      <c r="A687" s="3">
        <v>40878</v>
      </c>
      <c r="B687" s="1">
        <v>8</v>
      </c>
      <c r="C687" s="22">
        <v>0.75539999999999996</v>
      </c>
      <c r="D687" s="32">
        <f t="shared" si="10"/>
        <v>6.0431999999999997</v>
      </c>
    </row>
    <row r="688" spans="1:4" x14ac:dyDescent="0.2">
      <c r="A688" s="3">
        <v>40879</v>
      </c>
      <c r="B688" s="1">
        <v>5</v>
      </c>
      <c r="C688" s="22">
        <v>1.8439000000000001</v>
      </c>
      <c r="D688" s="32">
        <f t="shared" si="10"/>
        <v>9.2195</v>
      </c>
    </row>
    <row r="689" spans="1:4" x14ac:dyDescent="0.2">
      <c r="A689" s="3">
        <v>40880</v>
      </c>
      <c r="B689" s="1">
        <v>10</v>
      </c>
      <c r="C689" s="22">
        <v>0.81779999999999997</v>
      </c>
      <c r="D689" s="32">
        <f t="shared" si="10"/>
        <v>8.177999999999999</v>
      </c>
    </row>
    <row r="690" spans="1:4" x14ac:dyDescent="0.2">
      <c r="A690" s="3">
        <v>40881</v>
      </c>
      <c r="B690" s="1">
        <v>8</v>
      </c>
      <c r="C690" s="22">
        <v>1.4169</v>
      </c>
      <c r="D690" s="32">
        <f t="shared" si="10"/>
        <v>11.3352</v>
      </c>
    </row>
    <row r="691" spans="1:4" x14ac:dyDescent="0.2">
      <c r="A691" s="3">
        <v>40882</v>
      </c>
      <c r="B691" s="1">
        <v>3</v>
      </c>
      <c r="C691" s="22">
        <v>2.9958</v>
      </c>
      <c r="D691" s="32">
        <f t="shared" si="10"/>
        <v>8.9874000000000009</v>
      </c>
    </row>
    <row r="692" spans="1:4" x14ac:dyDescent="0.2">
      <c r="A692" s="3">
        <v>40883</v>
      </c>
      <c r="B692" s="1">
        <v>9</v>
      </c>
      <c r="C692" s="22">
        <v>1.3255999999999999</v>
      </c>
      <c r="D692" s="32">
        <f t="shared" si="10"/>
        <v>11.930399999999999</v>
      </c>
    </row>
    <row r="693" spans="1:4" x14ac:dyDescent="0.2">
      <c r="A693" s="3">
        <v>40884</v>
      </c>
      <c r="B693" s="1">
        <v>5</v>
      </c>
      <c r="C693" s="22">
        <v>1.7988</v>
      </c>
      <c r="D693" s="32">
        <f t="shared" si="10"/>
        <v>8.9939999999999998</v>
      </c>
    </row>
    <row r="694" spans="1:4" x14ac:dyDescent="0.2">
      <c r="A694" s="3">
        <v>40885</v>
      </c>
      <c r="B694" s="1">
        <v>6</v>
      </c>
      <c r="C694" s="22">
        <v>3.9054000000000002</v>
      </c>
      <c r="D694" s="32">
        <f t="shared" si="10"/>
        <v>23.432400000000001</v>
      </c>
    </row>
    <row r="695" spans="1:4" x14ac:dyDescent="0.2">
      <c r="A695" s="3">
        <v>40886</v>
      </c>
      <c r="B695" s="1">
        <v>8</v>
      </c>
      <c r="C695" s="22">
        <v>3.9986000000000002</v>
      </c>
      <c r="D695" s="32">
        <f t="shared" si="10"/>
        <v>31.988800000000001</v>
      </c>
    </row>
    <row r="696" spans="1:4" x14ac:dyDescent="0.2">
      <c r="A696" s="3">
        <v>40887</v>
      </c>
      <c r="B696" s="1">
        <v>2</v>
      </c>
      <c r="C696" s="22">
        <v>0.1376</v>
      </c>
      <c r="D696" s="32">
        <f t="shared" si="10"/>
        <v>0.2752</v>
      </c>
    </row>
    <row r="697" spans="1:4" x14ac:dyDescent="0.2">
      <c r="A697" s="3">
        <v>40888</v>
      </c>
      <c r="B697" s="1">
        <v>1</v>
      </c>
      <c r="C697" s="22">
        <v>1.2111000000000001</v>
      </c>
      <c r="D697" s="32">
        <f t="shared" si="10"/>
        <v>1.2111000000000001</v>
      </c>
    </row>
    <row r="698" spans="1:4" x14ac:dyDescent="0.2">
      <c r="A698" s="3">
        <v>40889</v>
      </c>
      <c r="B698" s="1">
        <v>1</v>
      </c>
      <c r="C698" s="22">
        <v>1.3904000000000001</v>
      </c>
      <c r="D698" s="32">
        <f t="shared" si="10"/>
        <v>1.3904000000000001</v>
      </c>
    </row>
    <row r="699" spans="1:4" x14ac:dyDescent="0.2">
      <c r="A699" s="3">
        <v>40890</v>
      </c>
      <c r="B699" s="1">
        <v>1</v>
      </c>
      <c r="C699" s="22">
        <v>0.57469999999999999</v>
      </c>
      <c r="D699" s="32">
        <f t="shared" si="10"/>
        <v>0.57469999999999999</v>
      </c>
    </row>
    <row r="700" spans="1:4" x14ac:dyDescent="0.2">
      <c r="A700" s="3">
        <v>40891</v>
      </c>
      <c r="B700" s="1">
        <v>6</v>
      </c>
      <c r="C700" s="22">
        <v>0.72089999999999999</v>
      </c>
      <c r="D700" s="32">
        <f t="shared" si="10"/>
        <v>4.3254000000000001</v>
      </c>
    </row>
    <row r="701" spans="1:4" x14ac:dyDescent="0.2">
      <c r="A701" s="3">
        <v>40892</v>
      </c>
      <c r="B701" s="1">
        <v>10</v>
      </c>
      <c r="C701" s="22">
        <v>0.36280000000000001</v>
      </c>
      <c r="D701" s="32">
        <f t="shared" si="10"/>
        <v>3.6280000000000001</v>
      </c>
    </row>
    <row r="702" spans="1:4" x14ac:dyDescent="0.2">
      <c r="A702" s="3">
        <v>40893</v>
      </c>
      <c r="B702" s="1">
        <v>4</v>
      </c>
      <c r="C702" s="22">
        <v>0.27150000000000002</v>
      </c>
      <c r="D702" s="32">
        <f t="shared" si="10"/>
        <v>1.0860000000000001</v>
      </c>
    </row>
    <row r="703" spans="1:4" ht="16" thickBot="1" x14ac:dyDescent="0.25">
      <c r="A703" s="4">
        <v>40894</v>
      </c>
      <c r="B703" s="2">
        <v>4</v>
      </c>
      <c r="C703" s="23">
        <v>0.93220000000000003</v>
      </c>
      <c r="D703" s="32">
        <f t="shared" si="10"/>
        <v>3.7288000000000001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7"/>
  <dimension ref="A1:N703"/>
  <sheetViews>
    <sheetView tabSelected="1" zoomScale="125" zoomScaleNormal="100" workbookViewId="0">
      <selection activeCell="L16" sqref="L16"/>
    </sheetView>
  </sheetViews>
  <sheetFormatPr baseColWidth="10" defaultColWidth="11.5" defaultRowHeight="15" x14ac:dyDescent="0.2"/>
  <cols>
    <col min="2" max="2" width="15.1640625" customWidth="1"/>
    <col min="3" max="3" width="11.5" style="24"/>
    <col min="5" max="5" width="13" bestFit="1" customWidth="1"/>
  </cols>
  <sheetData>
    <row r="1" spans="1:14" ht="16" thickBot="1" x14ac:dyDescent="0.25">
      <c r="A1" s="52" t="s">
        <v>0</v>
      </c>
      <c r="B1" s="52"/>
      <c r="C1" s="52"/>
      <c r="D1" s="52"/>
    </row>
    <row r="2" spans="1:14" ht="65" thickBot="1" x14ac:dyDescent="0.25">
      <c r="A2" s="12" t="s">
        <v>1</v>
      </c>
      <c r="B2" s="26" t="s">
        <v>49</v>
      </c>
      <c r="C2" s="27" t="s">
        <v>47</v>
      </c>
      <c r="D2" s="31" t="s">
        <v>50</v>
      </c>
      <c r="H2" s="41"/>
      <c r="I2" s="51" t="s">
        <v>56</v>
      </c>
      <c r="J2" s="51" t="s">
        <v>57</v>
      </c>
      <c r="K2" s="51" t="s">
        <v>58</v>
      </c>
      <c r="L2" s="51" t="s">
        <v>59</v>
      </c>
      <c r="M2" s="51" t="s">
        <v>60</v>
      </c>
      <c r="N2" s="51" t="s">
        <v>61</v>
      </c>
    </row>
    <row r="3" spans="1:14" x14ac:dyDescent="0.2">
      <c r="A3" s="28">
        <v>39814</v>
      </c>
      <c r="B3" s="29">
        <v>1</v>
      </c>
      <c r="C3" s="30">
        <v>0.53739999999999999</v>
      </c>
      <c r="D3" s="37">
        <f>B3*C3</f>
        <v>0.53739999999999999</v>
      </c>
      <c r="E3" s="25" t="s">
        <v>51</v>
      </c>
      <c r="F3" s="40">
        <f>MAX(D3:D703)</f>
        <v>111.083</v>
      </c>
      <c r="H3" s="41">
        <v>1</v>
      </c>
      <c r="I3" s="42">
        <f>$F$4</f>
        <v>0.14230000000000001</v>
      </c>
      <c r="J3" s="43">
        <f>I3+$F$7</f>
        <v>11.236369999999999</v>
      </c>
      <c r="K3" s="43">
        <f>(I3+J3)/2</f>
        <v>5.6893349999999998</v>
      </c>
      <c r="L3" s="41">
        <f>COUNTIFS($D$3:$D$703,"&gt;="&amp;I3,$D$3:$D$703,"&lt;+"&amp;J3)</f>
        <v>533</v>
      </c>
      <c r="M3" s="49">
        <f>L3/$L$13</f>
        <v>0.76034236804564903</v>
      </c>
      <c r="N3" s="44">
        <f>(K3-$L$14)^2</f>
        <v>28.953668770438874</v>
      </c>
    </row>
    <row r="4" spans="1:14" x14ac:dyDescent="0.2">
      <c r="A4" s="3">
        <v>39815</v>
      </c>
      <c r="B4" s="1">
        <v>4</v>
      </c>
      <c r="C4" s="22">
        <v>1.1978</v>
      </c>
      <c r="D4" s="36">
        <f t="shared" ref="D4:D67" si="0">B4*C4</f>
        <v>4.7911999999999999</v>
      </c>
      <c r="E4" s="25" t="s">
        <v>52</v>
      </c>
      <c r="F4" s="40">
        <f>MIN(D3:D703)</f>
        <v>0.14230000000000001</v>
      </c>
      <c r="H4" s="41">
        <v>2</v>
      </c>
      <c r="I4" s="43">
        <f>J3</f>
        <v>11.236369999999999</v>
      </c>
      <c r="J4" s="43">
        <f>I4+$F$7</f>
        <v>22.330439999999996</v>
      </c>
      <c r="K4" s="43">
        <f t="shared" ref="K4:K12" si="1">(I4+J4)/2</f>
        <v>16.783404999999998</v>
      </c>
      <c r="L4" s="41">
        <f t="shared" ref="L4:L11" si="2">COUNTIFS($D$3:$D$703,"&gt;="&amp;I4,$D$3:$D$703,"&lt;+"&amp;J4)</f>
        <v>93</v>
      </c>
      <c r="M4" s="49">
        <f t="shared" ref="M4:M12" si="3">L4/$L$13</f>
        <v>0.13266761768901569</v>
      </c>
      <c r="N4" s="44">
        <f t="shared" ref="N4:N12" si="4">(K4-$L$14)^2</f>
        <v>32.64075318194088</v>
      </c>
    </row>
    <row r="5" spans="1:14" x14ac:dyDescent="0.2">
      <c r="A5" s="3">
        <v>39816</v>
      </c>
      <c r="B5" s="1">
        <v>5</v>
      </c>
      <c r="C5" s="22">
        <v>0.4269</v>
      </c>
      <c r="D5" s="36">
        <f t="shared" si="0"/>
        <v>2.1345000000000001</v>
      </c>
      <c r="E5" s="25" t="s">
        <v>53</v>
      </c>
      <c r="F5" s="39">
        <f>F3-F4</f>
        <v>110.94069999999999</v>
      </c>
      <c r="H5" s="41">
        <v>3</v>
      </c>
      <c r="I5" s="43">
        <f t="shared" ref="I5:I12" si="5">J4</f>
        <v>22.330439999999996</v>
      </c>
      <c r="J5" s="43">
        <f t="shared" ref="J5:J12" si="6">I5+$F$7</f>
        <v>33.424509999999998</v>
      </c>
      <c r="K5" s="43">
        <f t="shared" si="1"/>
        <v>27.877474999999997</v>
      </c>
      <c r="L5" s="41">
        <f t="shared" si="2"/>
        <v>37</v>
      </c>
      <c r="M5" s="49">
        <f t="shared" si="3"/>
        <v>5.2781740370898715E-2</v>
      </c>
      <c r="N5" s="44">
        <f t="shared" si="4"/>
        <v>282.48461592324281</v>
      </c>
    </row>
    <row r="6" spans="1:14" x14ac:dyDescent="0.2">
      <c r="A6" s="3">
        <v>39817</v>
      </c>
      <c r="B6" s="1">
        <v>6</v>
      </c>
      <c r="C6" s="22">
        <v>1.0813999999999999</v>
      </c>
      <c r="D6" s="36">
        <f t="shared" si="0"/>
        <v>6.4883999999999995</v>
      </c>
      <c r="E6" s="25" t="s">
        <v>54</v>
      </c>
      <c r="F6" s="38">
        <v>10</v>
      </c>
      <c r="H6" s="41">
        <v>4</v>
      </c>
      <c r="I6" s="43">
        <f t="shared" si="5"/>
        <v>33.424509999999998</v>
      </c>
      <c r="J6" s="43">
        <f t="shared" si="6"/>
        <v>44.51858</v>
      </c>
      <c r="K6" s="43">
        <f t="shared" si="1"/>
        <v>38.971544999999999</v>
      </c>
      <c r="L6" s="41">
        <f t="shared" si="2"/>
        <v>14</v>
      </c>
      <c r="M6" s="49">
        <f t="shared" si="3"/>
        <v>1.9971469329529243E-2</v>
      </c>
      <c r="N6" s="44">
        <f t="shared" si="4"/>
        <v>778.48525699434492</v>
      </c>
    </row>
    <row r="7" spans="1:14" x14ac:dyDescent="0.2">
      <c r="A7" s="3">
        <v>39818</v>
      </c>
      <c r="B7" s="1">
        <v>7</v>
      </c>
      <c r="C7" s="22">
        <v>1.2104999999999999</v>
      </c>
      <c r="D7" s="36">
        <f t="shared" si="0"/>
        <v>8.4734999999999996</v>
      </c>
      <c r="E7" s="25" t="s">
        <v>55</v>
      </c>
      <c r="F7" s="39">
        <f>F5/F6</f>
        <v>11.094069999999999</v>
      </c>
      <c r="H7" s="41">
        <v>5</v>
      </c>
      <c r="I7" s="43">
        <f t="shared" si="5"/>
        <v>44.51858</v>
      </c>
      <c r="J7" s="43">
        <f t="shared" si="6"/>
        <v>55.612650000000002</v>
      </c>
      <c r="K7" s="43">
        <f t="shared" si="1"/>
        <v>50.065615000000001</v>
      </c>
      <c r="L7" s="41">
        <f t="shared" si="2"/>
        <v>9</v>
      </c>
      <c r="M7" s="49">
        <f t="shared" si="3"/>
        <v>1.2838801711840228E-2</v>
      </c>
      <c r="N7" s="44">
        <f t="shared" si="4"/>
        <v>1520.6426763952468</v>
      </c>
    </row>
    <row r="8" spans="1:14" x14ac:dyDescent="0.2">
      <c r="A8" s="3">
        <v>39819</v>
      </c>
      <c r="B8" s="1">
        <v>3</v>
      </c>
      <c r="C8" s="22">
        <v>0.23630000000000001</v>
      </c>
      <c r="D8" s="36">
        <f t="shared" si="0"/>
        <v>0.70890000000000009</v>
      </c>
      <c r="H8" s="41">
        <v>6</v>
      </c>
      <c r="I8" s="43">
        <f t="shared" si="5"/>
        <v>55.612650000000002</v>
      </c>
      <c r="J8" s="43">
        <f t="shared" si="6"/>
        <v>66.706720000000004</v>
      </c>
      <c r="K8" s="43">
        <f t="shared" si="1"/>
        <v>61.159685000000003</v>
      </c>
      <c r="L8" s="41">
        <f t="shared" si="2"/>
        <v>5</v>
      </c>
      <c r="M8" s="49">
        <f t="shared" si="3"/>
        <v>7.1326676176890159E-3</v>
      </c>
      <c r="N8" s="44">
        <f t="shared" si="4"/>
        <v>2508.9568741259491</v>
      </c>
    </row>
    <row r="9" spans="1:14" x14ac:dyDescent="0.2">
      <c r="A9" s="3">
        <v>39820</v>
      </c>
      <c r="B9" s="1">
        <v>1</v>
      </c>
      <c r="C9" s="22">
        <v>0.2737</v>
      </c>
      <c r="D9" s="36">
        <f t="shared" si="0"/>
        <v>0.2737</v>
      </c>
      <c r="H9" s="41">
        <v>7</v>
      </c>
      <c r="I9" s="43">
        <f t="shared" si="5"/>
        <v>66.706720000000004</v>
      </c>
      <c r="J9" s="43">
        <f t="shared" si="6"/>
        <v>77.800790000000006</v>
      </c>
      <c r="K9" s="43">
        <f t="shared" si="1"/>
        <v>72.253755000000012</v>
      </c>
      <c r="L9" s="41">
        <f t="shared" si="2"/>
        <v>3</v>
      </c>
      <c r="M9" s="49">
        <f t="shared" si="3"/>
        <v>4.2796005706134095E-3</v>
      </c>
      <c r="N9" s="44">
        <f t="shared" si="4"/>
        <v>3743.4278501864528</v>
      </c>
    </row>
    <row r="10" spans="1:14" x14ac:dyDescent="0.2">
      <c r="A10" s="3">
        <v>39821</v>
      </c>
      <c r="B10" s="1">
        <v>8</v>
      </c>
      <c r="C10" s="22">
        <v>12.4245</v>
      </c>
      <c r="D10" s="36">
        <f t="shared" si="0"/>
        <v>99.396000000000001</v>
      </c>
      <c r="H10" s="41">
        <v>8</v>
      </c>
      <c r="I10" s="43">
        <f t="shared" si="5"/>
        <v>77.800790000000006</v>
      </c>
      <c r="J10" s="43">
        <f t="shared" si="6"/>
        <v>88.894860000000008</v>
      </c>
      <c r="K10" s="43">
        <f t="shared" si="1"/>
        <v>83.347825</v>
      </c>
      <c r="L10" s="41">
        <f t="shared" si="2"/>
        <v>5</v>
      </c>
      <c r="M10" s="49">
        <f t="shared" si="3"/>
        <v>7.1326676176890159E-3</v>
      </c>
      <c r="N10" s="44">
        <f t="shared" si="4"/>
        <v>5224.0556045767535</v>
      </c>
    </row>
    <row r="11" spans="1:14" x14ac:dyDescent="0.2">
      <c r="A11" s="3">
        <v>39822</v>
      </c>
      <c r="B11" s="1">
        <v>1</v>
      </c>
      <c r="C11" s="22">
        <v>2.3868999999999998</v>
      </c>
      <c r="D11" s="36">
        <f t="shared" si="0"/>
        <v>2.3868999999999998</v>
      </c>
      <c r="H11" s="41">
        <v>9</v>
      </c>
      <c r="I11" s="43">
        <f t="shared" si="5"/>
        <v>88.894860000000008</v>
      </c>
      <c r="J11" s="43">
        <f t="shared" si="6"/>
        <v>99.988930000000011</v>
      </c>
      <c r="K11" s="43">
        <f t="shared" si="1"/>
        <v>94.441895000000017</v>
      </c>
      <c r="L11" s="41">
        <f t="shared" si="2"/>
        <v>1</v>
      </c>
      <c r="M11" s="49">
        <f t="shared" si="3"/>
        <v>1.4265335235378032E-3</v>
      </c>
      <c r="N11" s="44">
        <f t="shared" si="4"/>
        <v>6950.8401372968583</v>
      </c>
    </row>
    <row r="12" spans="1:14" x14ac:dyDescent="0.2">
      <c r="A12" s="3">
        <v>39823</v>
      </c>
      <c r="B12" s="1">
        <v>7</v>
      </c>
      <c r="C12" s="22">
        <v>0.30980000000000002</v>
      </c>
      <c r="D12" s="36">
        <f t="shared" si="0"/>
        <v>2.1686000000000001</v>
      </c>
      <c r="H12" s="41">
        <v>10</v>
      </c>
      <c r="I12" s="43">
        <f t="shared" si="5"/>
        <v>99.988930000000011</v>
      </c>
      <c r="J12" s="50">
        <f t="shared" si="6"/>
        <v>111.08300000000001</v>
      </c>
      <c r="K12" s="43">
        <f t="shared" si="1"/>
        <v>105.535965</v>
      </c>
      <c r="L12" s="41">
        <f>COUNTIFS($D$3:$D$703,"&gt;="&amp;I12,$D$3:$D$703,"&lt;="&amp;J12)</f>
        <v>1</v>
      </c>
      <c r="M12" s="49">
        <f t="shared" si="3"/>
        <v>1.4265335235378032E-3</v>
      </c>
      <c r="N12" s="44">
        <f t="shared" si="4"/>
        <v>8923.7814483467591</v>
      </c>
    </row>
    <row r="13" spans="1:14" x14ac:dyDescent="0.2">
      <c r="A13" s="3">
        <v>39824</v>
      </c>
      <c r="B13" s="1">
        <v>6</v>
      </c>
      <c r="C13" s="22">
        <v>2.3096000000000001</v>
      </c>
      <c r="D13" s="36">
        <f t="shared" si="0"/>
        <v>13.857600000000001</v>
      </c>
      <c r="H13" s="41"/>
      <c r="I13" s="41"/>
      <c r="J13" s="41"/>
      <c r="K13" s="41"/>
      <c r="L13" s="41">
        <f>SUM(L3:L12)</f>
        <v>701</v>
      </c>
      <c r="M13" s="45">
        <f>SUM(M3:M12)</f>
        <v>1</v>
      </c>
      <c r="N13" s="41"/>
    </row>
    <row r="14" spans="1:14" x14ac:dyDescent="0.2">
      <c r="A14" s="3">
        <v>39825</v>
      </c>
      <c r="B14" s="1">
        <v>12</v>
      </c>
      <c r="C14" s="22">
        <v>1.7533000000000001</v>
      </c>
      <c r="D14" s="36">
        <f t="shared" si="0"/>
        <v>21.0396</v>
      </c>
      <c r="H14" s="41"/>
      <c r="I14" s="41"/>
      <c r="J14" s="41"/>
      <c r="K14" s="51" t="s">
        <v>62</v>
      </c>
      <c r="L14" s="46">
        <f>SUMPRODUCT(K3:K12,M3:M12)</f>
        <v>11.070196340941511</v>
      </c>
      <c r="M14" s="47">
        <f>AVERAGE(D3:D703)</f>
        <v>9.4511126961483605</v>
      </c>
      <c r="N14" s="41"/>
    </row>
    <row r="15" spans="1:14" x14ac:dyDescent="0.2">
      <c r="A15" s="3">
        <v>39826</v>
      </c>
      <c r="B15" s="1">
        <v>4</v>
      </c>
      <c r="C15" s="22">
        <v>0.54790000000000005</v>
      </c>
      <c r="D15" s="36">
        <f t="shared" si="0"/>
        <v>2.1916000000000002</v>
      </c>
      <c r="H15" s="41"/>
      <c r="I15" s="41"/>
      <c r="J15" s="41"/>
      <c r="K15" s="51" t="s">
        <v>61</v>
      </c>
      <c r="L15" s="48">
        <f>SUMPRODUCT(M3:M12,N3:N12)</f>
        <v>170.14888945066895</v>
      </c>
      <c r="M15" s="41"/>
      <c r="N15" s="41"/>
    </row>
    <row r="16" spans="1:14" x14ac:dyDescent="0.2">
      <c r="A16" s="3">
        <v>39827</v>
      </c>
      <c r="B16" s="1">
        <v>1</v>
      </c>
      <c r="C16" s="22">
        <v>0.58279999999999998</v>
      </c>
      <c r="D16" s="36">
        <f t="shared" si="0"/>
        <v>0.58279999999999998</v>
      </c>
      <c r="H16" s="41"/>
      <c r="I16" s="41"/>
      <c r="J16" s="41"/>
      <c r="K16" s="51" t="s">
        <v>7</v>
      </c>
      <c r="L16" s="43">
        <f>SQRT(L15)</f>
        <v>13.044113210589249</v>
      </c>
      <c r="M16" s="41"/>
      <c r="N16" s="41"/>
    </row>
    <row r="17" spans="1:4" x14ac:dyDescent="0.2">
      <c r="A17" s="3">
        <v>39828</v>
      </c>
      <c r="B17" s="1">
        <v>1</v>
      </c>
      <c r="C17" s="22">
        <v>2.4373</v>
      </c>
      <c r="D17" s="36">
        <f t="shared" si="0"/>
        <v>2.4373</v>
      </c>
    </row>
    <row r="18" spans="1:4" x14ac:dyDescent="0.2">
      <c r="A18" s="3">
        <v>39829</v>
      </c>
      <c r="B18" s="1">
        <v>3</v>
      </c>
      <c r="C18" s="22">
        <v>0.43190000000000001</v>
      </c>
      <c r="D18" s="36">
        <f t="shared" si="0"/>
        <v>1.2957000000000001</v>
      </c>
    </row>
    <row r="19" spans="1:4" x14ac:dyDescent="0.2">
      <c r="A19" s="3">
        <v>39830</v>
      </c>
      <c r="B19" s="1">
        <v>9</v>
      </c>
      <c r="C19" s="22">
        <v>3.2730000000000001</v>
      </c>
      <c r="D19" s="36">
        <f t="shared" si="0"/>
        <v>29.457000000000001</v>
      </c>
    </row>
    <row r="20" spans="1:4" x14ac:dyDescent="0.2">
      <c r="A20" s="3">
        <v>39831</v>
      </c>
      <c r="B20" s="1">
        <v>6</v>
      </c>
      <c r="C20" s="22">
        <v>7.6694000000000004</v>
      </c>
      <c r="D20" s="36">
        <f t="shared" si="0"/>
        <v>46.016400000000004</v>
      </c>
    </row>
    <row r="21" spans="1:4" x14ac:dyDescent="0.2">
      <c r="A21" s="3">
        <v>39832</v>
      </c>
      <c r="B21" s="1">
        <v>9</v>
      </c>
      <c r="C21" s="22">
        <v>0.90890000000000004</v>
      </c>
      <c r="D21" s="36">
        <f t="shared" si="0"/>
        <v>8.1800999999999995</v>
      </c>
    </row>
    <row r="22" spans="1:4" x14ac:dyDescent="0.2">
      <c r="A22" s="3">
        <v>39833</v>
      </c>
      <c r="B22" s="1">
        <v>7</v>
      </c>
      <c r="C22" s="22">
        <v>2.7284000000000002</v>
      </c>
      <c r="D22" s="36">
        <f t="shared" si="0"/>
        <v>19.098800000000001</v>
      </c>
    </row>
    <row r="23" spans="1:4" x14ac:dyDescent="0.2">
      <c r="A23" s="3">
        <v>39834</v>
      </c>
      <c r="B23" s="1">
        <v>10</v>
      </c>
      <c r="C23" s="22">
        <v>1.4140999999999999</v>
      </c>
      <c r="D23" s="36">
        <f t="shared" si="0"/>
        <v>14.140999999999998</v>
      </c>
    </row>
    <row r="24" spans="1:4" x14ac:dyDescent="0.2">
      <c r="A24" s="3">
        <v>39835</v>
      </c>
      <c r="B24" s="1">
        <v>8</v>
      </c>
      <c r="C24" s="22">
        <v>0.71299999999999997</v>
      </c>
      <c r="D24" s="36">
        <f t="shared" si="0"/>
        <v>5.7039999999999997</v>
      </c>
    </row>
    <row r="25" spans="1:4" x14ac:dyDescent="0.2">
      <c r="A25" s="3">
        <v>39836</v>
      </c>
      <c r="B25" s="1">
        <v>1</v>
      </c>
      <c r="C25" s="22">
        <v>4.8091999999999997</v>
      </c>
      <c r="D25" s="36">
        <f t="shared" si="0"/>
        <v>4.8091999999999997</v>
      </c>
    </row>
    <row r="26" spans="1:4" x14ac:dyDescent="0.2">
      <c r="A26" s="3">
        <v>39837</v>
      </c>
      <c r="B26" s="1">
        <v>5</v>
      </c>
      <c r="C26" s="22">
        <v>1.3368</v>
      </c>
      <c r="D26" s="36">
        <f t="shared" si="0"/>
        <v>6.6840000000000002</v>
      </c>
    </row>
    <row r="27" spans="1:4" x14ac:dyDescent="0.2">
      <c r="A27" s="3">
        <v>39838</v>
      </c>
      <c r="B27" s="1">
        <v>4</v>
      </c>
      <c r="C27" s="22">
        <v>3.3130999999999999</v>
      </c>
      <c r="D27" s="36">
        <f t="shared" si="0"/>
        <v>13.2524</v>
      </c>
    </row>
    <row r="28" spans="1:4" x14ac:dyDescent="0.2">
      <c r="A28" s="3">
        <v>39839</v>
      </c>
      <c r="B28" s="1">
        <v>9</v>
      </c>
      <c r="C28" s="22">
        <v>1.1105</v>
      </c>
      <c r="D28" s="36">
        <f t="shared" si="0"/>
        <v>9.9945000000000004</v>
      </c>
    </row>
    <row r="29" spans="1:4" x14ac:dyDescent="0.2">
      <c r="A29" s="3">
        <v>39840</v>
      </c>
      <c r="B29" s="1">
        <v>5</v>
      </c>
      <c r="C29" s="22">
        <v>1.1462000000000001</v>
      </c>
      <c r="D29" s="36">
        <f t="shared" si="0"/>
        <v>5.7310000000000008</v>
      </c>
    </row>
    <row r="30" spans="1:4" x14ac:dyDescent="0.2">
      <c r="A30" s="3">
        <v>39841</v>
      </c>
      <c r="B30" s="1">
        <v>5</v>
      </c>
      <c r="C30" s="22">
        <v>0.82140000000000002</v>
      </c>
      <c r="D30" s="36">
        <f t="shared" si="0"/>
        <v>4.1070000000000002</v>
      </c>
    </row>
    <row r="31" spans="1:4" x14ac:dyDescent="0.2">
      <c r="A31" s="3">
        <v>39842</v>
      </c>
      <c r="B31" s="1">
        <v>4</v>
      </c>
      <c r="C31" s="22">
        <v>0.79179999999999995</v>
      </c>
      <c r="D31" s="36">
        <f t="shared" si="0"/>
        <v>3.1671999999999998</v>
      </c>
    </row>
    <row r="32" spans="1:4" x14ac:dyDescent="0.2">
      <c r="A32" s="3">
        <v>39843</v>
      </c>
      <c r="B32" s="1">
        <v>8</v>
      </c>
      <c r="C32" s="22">
        <v>0.39689999999999998</v>
      </c>
      <c r="D32" s="36">
        <f t="shared" si="0"/>
        <v>3.1751999999999998</v>
      </c>
    </row>
    <row r="33" spans="1:4" x14ac:dyDescent="0.2">
      <c r="A33" s="3">
        <v>39844</v>
      </c>
      <c r="B33" s="1">
        <v>6</v>
      </c>
      <c r="C33" s="22">
        <v>0.16539999999999999</v>
      </c>
      <c r="D33" s="36">
        <f t="shared" si="0"/>
        <v>0.99239999999999995</v>
      </c>
    </row>
    <row r="34" spans="1:4" x14ac:dyDescent="0.2">
      <c r="A34" s="3">
        <v>39845</v>
      </c>
      <c r="B34" s="1">
        <v>1</v>
      </c>
      <c r="C34" s="22">
        <v>0.80479999999999996</v>
      </c>
      <c r="D34" s="36">
        <f t="shared" si="0"/>
        <v>0.80479999999999996</v>
      </c>
    </row>
    <row r="35" spans="1:4" x14ac:dyDescent="0.2">
      <c r="A35" s="3">
        <v>39846</v>
      </c>
      <c r="B35" s="1">
        <v>4</v>
      </c>
      <c r="C35" s="22">
        <v>1.077</v>
      </c>
      <c r="D35" s="36">
        <f t="shared" si="0"/>
        <v>4.3079999999999998</v>
      </c>
    </row>
    <row r="36" spans="1:4" x14ac:dyDescent="0.2">
      <c r="A36" s="3">
        <v>39847</v>
      </c>
      <c r="B36" s="1">
        <v>8</v>
      </c>
      <c r="C36" s="22">
        <v>0.53049999999999997</v>
      </c>
      <c r="D36" s="36">
        <f t="shared" si="0"/>
        <v>4.2439999999999998</v>
      </c>
    </row>
    <row r="37" spans="1:4" x14ac:dyDescent="0.2">
      <c r="A37" s="3">
        <v>39848</v>
      </c>
      <c r="B37" s="1">
        <v>1</v>
      </c>
      <c r="C37" s="22">
        <v>2.1139999999999999</v>
      </c>
      <c r="D37" s="36">
        <f t="shared" si="0"/>
        <v>2.1139999999999999</v>
      </c>
    </row>
    <row r="38" spans="1:4" x14ac:dyDescent="0.2">
      <c r="A38" s="3">
        <v>39849</v>
      </c>
      <c r="B38" s="1">
        <v>4</v>
      </c>
      <c r="C38" s="22">
        <v>2.8269000000000002</v>
      </c>
      <c r="D38" s="36">
        <f t="shared" si="0"/>
        <v>11.307600000000001</v>
      </c>
    </row>
    <row r="39" spans="1:4" x14ac:dyDescent="0.2">
      <c r="A39" s="3">
        <v>39850</v>
      </c>
      <c r="B39" s="1">
        <v>7</v>
      </c>
      <c r="C39" s="22">
        <v>0.2656</v>
      </c>
      <c r="D39" s="36">
        <f t="shared" si="0"/>
        <v>1.8592</v>
      </c>
    </row>
    <row r="40" spans="1:4" x14ac:dyDescent="0.2">
      <c r="A40" s="3">
        <v>39851</v>
      </c>
      <c r="B40" s="1">
        <v>9</v>
      </c>
      <c r="C40" s="22">
        <v>0.75339999999999996</v>
      </c>
      <c r="D40" s="36">
        <f t="shared" si="0"/>
        <v>6.7805999999999997</v>
      </c>
    </row>
    <row r="41" spans="1:4" x14ac:dyDescent="0.2">
      <c r="A41" s="3">
        <v>39852</v>
      </c>
      <c r="B41" s="1">
        <v>2</v>
      </c>
      <c r="C41" s="22">
        <v>8.1698000000000004</v>
      </c>
      <c r="D41" s="36">
        <f t="shared" si="0"/>
        <v>16.339600000000001</v>
      </c>
    </row>
    <row r="42" spans="1:4" x14ac:dyDescent="0.2">
      <c r="A42" s="3">
        <v>39853</v>
      </c>
      <c r="B42" s="1">
        <v>3</v>
      </c>
      <c r="C42" s="22">
        <v>0.5958</v>
      </c>
      <c r="D42" s="36">
        <f t="shared" si="0"/>
        <v>1.7873999999999999</v>
      </c>
    </row>
    <row r="43" spans="1:4" x14ac:dyDescent="0.2">
      <c r="A43" s="3">
        <v>39854</v>
      </c>
      <c r="B43" s="1">
        <v>2</v>
      </c>
      <c r="C43" s="22">
        <v>0.82940000000000003</v>
      </c>
      <c r="D43" s="36">
        <f t="shared" si="0"/>
        <v>1.6588000000000001</v>
      </c>
    </row>
    <row r="44" spans="1:4" x14ac:dyDescent="0.2">
      <c r="A44" s="3">
        <v>39855</v>
      </c>
      <c r="B44" s="1">
        <v>7</v>
      </c>
      <c r="C44" s="22">
        <v>1.3855</v>
      </c>
      <c r="D44" s="36">
        <f t="shared" si="0"/>
        <v>9.6984999999999992</v>
      </c>
    </row>
    <row r="45" spans="1:4" x14ac:dyDescent="0.2">
      <c r="A45" s="3">
        <v>39856</v>
      </c>
      <c r="B45" s="1">
        <v>1</v>
      </c>
      <c r="C45" s="22">
        <v>0.33910000000000001</v>
      </c>
      <c r="D45" s="36">
        <f t="shared" si="0"/>
        <v>0.33910000000000001</v>
      </c>
    </row>
    <row r="46" spans="1:4" x14ac:dyDescent="0.2">
      <c r="A46" s="3">
        <v>39857</v>
      </c>
      <c r="B46" s="1">
        <v>10</v>
      </c>
      <c r="C46" s="22">
        <v>0.50480000000000003</v>
      </c>
      <c r="D46" s="36">
        <f t="shared" si="0"/>
        <v>5.048</v>
      </c>
    </row>
    <row r="47" spans="1:4" x14ac:dyDescent="0.2">
      <c r="A47" s="3">
        <v>39858</v>
      </c>
      <c r="B47" s="1">
        <v>6</v>
      </c>
      <c r="C47" s="22">
        <v>1.2693000000000001</v>
      </c>
      <c r="D47" s="36">
        <f t="shared" si="0"/>
        <v>7.6158000000000001</v>
      </c>
    </row>
    <row r="48" spans="1:4" x14ac:dyDescent="0.2">
      <c r="A48" s="3">
        <v>39859</v>
      </c>
      <c r="B48" s="1">
        <v>7</v>
      </c>
      <c r="C48" s="22">
        <v>0.77580000000000005</v>
      </c>
      <c r="D48" s="36">
        <f t="shared" si="0"/>
        <v>5.4306000000000001</v>
      </c>
    </row>
    <row r="49" spans="1:4" x14ac:dyDescent="0.2">
      <c r="A49" s="3">
        <v>39860</v>
      </c>
      <c r="B49" s="1">
        <v>9</v>
      </c>
      <c r="C49" s="22">
        <v>1.6694</v>
      </c>
      <c r="D49" s="36">
        <f t="shared" si="0"/>
        <v>15.0246</v>
      </c>
    </row>
    <row r="50" spans="1:4" x14ac:dyDescent="0.2">
      <c r="A50" s="3">
        <v>39861</v>
      </c>
      <c r="B50" s="1">
        <v>11</v>
      </c>
      <c r="C50" s="22">
        <v>0.81779999999999997</v>
      </c>
      <c r="D50" s="36">
        <f t="shared" si="0"/>
        <v>8.9957999999999991</v>
      </c>
    </row>
    <row r="51" spans="1:4" x14ac:dyDescent="0.2">
      <c r="A51" s="3">
        <v>39862</v>
      </c>
      <c r="B51" s="1">
        <v>7</v>
      </c>
      <c r="C51" s="22">
        <v>1.1714</v>
      </c>
      <c r="D51" s="36">
        <f t="shared" si="0"/>
        <v>8.1997999999999998</v>
      </c>
    </row>
    <row r="52" spans="1:4" x14ac:dyDescent="0.2">
      <c r="A52" s="3">
        <v>39863</v>
      </c>
      <c r="B52" s="1">
        <v>8</v>
      </c>
      <c r="C52" s="22">
        <v>0.18360000000000001</v>
      </c>
      <c r="D52" s="36">
        <f t="shared" si="0"/>
        <v>1.4688000000000001</v>
      </c>
    </row>
    <row r="53" spans="1:4" x14ac:dyDescent="0.2">
      <c r="A53" s="3">
        <v>39864</v>
      </c>
      <c r="B53" s="1">
        <v>1</v>
      </c>
      <c r="C53" s="22">
        <v>3.24</v>
      </c>
      <c r="D53" s="36">
        <f t="shared" si="0"/>
        <v>3.24</v>
      </c>
    </row>
    <row r="54" spans="1:4" x14ac:dyDescent="0.2">
      <c r="A54" s="3">
        <v>39865</v>
      </c>
      <c r="B54" s="1">
        <v>1</v>
      </c>
      <c r="C54" s="22">
        <v>0.17960000000000001</v>
      </c>
      <c r="D54" s="36">
        <f t="shared" si="0"/>
        <v>0.17960000000000001</v>
      </c>
    </row>
    <row r="55" spans="1:4" x14ac:dyDescent="0.2">
      <c r="A55" s="3">
        <v>39866</v>
      </c>
      <c r="B55" s="1">
        <v>3</v>
      </c>
      <c r="C55" s="22">
        <v>1.6947000000000001</v>
      </c>
      <c r="D55" s="36">
        <f t="shared" si="0"/>
        <v>5.0841000000000003</v>
      </c>
    </row>
    <row r="56" spans="1:4" x14ac:dyDescent="0.2">
      <c r="A56" s="3">
        <v>39867</v>
      </c>
      <c r="B56" s="1">
        <v>1</v>
      </c>
      <c r="C56" s="22">
        <v>0.6018</v>
      </c>
      <c r="D56" s="36">
        <f t="shared" si="0"/>
        <v>0.6018</v>
      </c>
    </row>
    <row r="57" spans="1:4" x14ac:dyDescent="0.2">
      <c r="A57" s="3">
        <v>39868</v>
      </c>
      <c r="B57" s="1">
        <v>1</v>
      </c>
      <c r="C57" s="22">
        <v>1.0362</v>
      </c>
      <c r="D57" s="36">
        <f t="shared" si="0"/>
        <v>1.0362</v>
      </c>
    </row>
    <row r="58" spans="1:4" x14ac:dyDescent="0.2">
      <c r="A58" s="3">
        <v>39869</v>
      </c>
      <c r="B58" s="1">
        <v>6</v>
      </c>
      <c r="C58" s="22">
        <v>4.1308999999999996</v>
      </c>
      <c r="D58" s="36">
        <f t="shared" si="0"/>
        <v>24.785399999999996</v>
      </c>
    </row>
    <row r="59" spans="1:4" x14ac:dyDescent="0.2">
      <c r="A59" s="3">
        <v>39870</v>
      </c>
      <c r="B59" s="1">
        <v>7</v>
      </c>
      <c r="C59" s="22">
        <v>1.827</v>
      </c>
      <c r="D59" s="36">
        <f t="shared" si="0"/>
        <v>12.789</v>
      </c>
    </row>
    <row r="60" spans="1:4" x14ac:dyDescent="0.2">
      <c r="A60" s="3">
        <v>39871</v>
      </c>
      <c r="B60" s="1">
        <v>7</v>
      </c>
      <c r="C60" s="22">
        <v>1.0178</v>
      </c>
      <c r="D60" s="36">
        <f t="shared" si="0"/>
        <v>7.1246</v>
      </c>
    </row>
    <row r="61" spans="1:4" x14ac:dyDescent="0.2">
      <c r="A61" s="3">
        <v>39872</v>
      </c>
      <c r="B61" s="1">
        <v>5</v>
      </c>
      <c r="C61" s="22">
        <v>0.20430000000000001</v>
      </c>
      <c r="D61" s="36">
        <f t="shared" si="0"/>
        <v>1.0215000000000001</v>
      </c>
    </row>
    <row r="62" spans="1:4" x14ac:dyDescent="0.2">
      <c r="A62" s="3">
        <v>39873</v>
      </c>
      <c r="B62" s="1">
        <v>3</v>
      </c>
      <c r="C62" s="22">
        <v>0.30649999999999999</v>
      </c>
      <c r="D62" s="36">
        <f t="shared" si="0"/>
        <v>0.91949999999999998</v>
      </c>
    </row>
    <row r="63" spans="1:4" x14ac:dyDescent="0.2">
      <c r="A63" s="3">
        <v>39874</v>
      </c>
      <c r="B63" s="1">
        <v>2</v>
      </c>
      <c r="C63" s="22">
        <v>0.49559999999999998</v>
      </c>
      <c r="D63" s="36">
        <f t="shared" si="0"/>
        <v>0.99119999999999997</v>
      </c>
    </row>
    <row r="64" spans="1:4" x14ac:dyDescent="0.2">
      <c r="A64" s="3">
        <v>39875</v>
      </c>
      <c r="B64" s="1">
        <v>8</v>
      </c>
      <c r="C64" s="22">
        <v>2.7343000000000002</v>
      </c>
      <c r="D64" s="36">
        <f t="shared" si="0"/>
        <v>21.874400000000001</v>
      </c>
    </row>
    <row r="65" spans="1:4" x14ac:dyDescent="0.2">
      <c r="A65" s="3">
        <v>39876</v>
      </c>
      <c r="B65" s="1">
        <v>3</v>
      </c>
      <c r="C65" s="22">
        <v>0.31059999999999999</v>
      </c>
      <c r="D65" s="36">
        <f t="shared" si="0"/>
        <v>0.93179999999999996</v>
      </c>
    </row>
    <row r="66" spans="1:4" x14ac:dyDescent="0.2">
      <c r="A66" s="3">
        <v>39877</v>
      </c>
      <c r="B66" s="1">
        <v>9</v>
      </c>
      <c r="C66" s="22">
        <v>0.88200000000000001</v>
      </c>
      <c r="D66" s="36">
        <f t="shared" si="0"/>
        <v>7.9379999999999997</v>
      </c>
    </row>
    <row r="67" spans="1:4" x14ac:dyDescent="0.2">
      <c r="A67" s="3">
        <v>39878</v>
      </c>
      <c r="B67" s="1">
        <v>9</v>
      </c>
      <c r="C67" s="22">
        <v>6.6729000000000003</v>
      </c>
      <c r="D67" s="36">
        <f t="shared" si="0"/>
        <v>60.056100000000001</v>
      </c>
    </row>
    <row r="68" spans="1:4" x14ac:dyDescent="0.2">
      <c r="A68" s="3">
        <v>39879</v>
      </c>
      <c r="B68" s="1">
        <v>1</v>
      </c>
      <c r="C68" s="22">
        <v>2.3687</v>
      </c>
      <c r="D68" s="36">
        <f t="shared" ref="D68:D131" si="7">B68*C68</f>
        <v>2.3687</v>
      </c>
    </row>
    <row r="69" spans="1:4" x14ac:dyDescent="0.2">
      <c r="A69" s="3">
        <v>39880</v>
      </c>
      <c r="B69" s="1">
        <v>7</v>
      </c>
      <c r="C69" s="22">
        <v>1.4406000000000001</v>
      </c>
      <c r="D69" s="36">
        <f t="shared" si="7"/>
        <v>10.084200000000001</v>
      </c>
    </row>
    <row r="70" spans="1:4" x14ac:dyDescent="0.2">
      <c r="A70" s="3">
        <v>39881</v>
      </c>
      <c r="B70" s="1">
        <v>5</v>
      </c>
      <c r="C70" s="22">
        <v>1.6576</v>
      </c>
      <c r="D70" s="36">
        <f t="shared" si="7"/>
        <v>8.2880000000000003</v>
      </c>
    </row>
    <row r="71" spans="1:4" x14ac:dyDescent="0.2">
      <c r="A71" s="3">
        <v>39882</v>
      </c>
      <c r="B71" s="1">
        <v>4</v>
      </c>
      <c r="C71" s="22">
        <v>0.40870000000000001</v>
      </c>
      <c r="D71" s="36">
        <f t="shared" si="7"/>
        <v>1.6348</v>
      </c>
    </row>
    <row r="72" spans="1:4" x14ac:dyDescent="0.2">
      <c r="A72" s="3">
        <v>39883</v>
      </c>
      <c r="B72" s="1">
        <v>3</v>
      </c>
      <c r="C72" s="22">
        <v>3.0085999999999999</v>
      </c>
      <c r="D72" s="36">
        <f t="shared" si="7"/>
        <v>9.0258000000000003</v>
      </c>
    </row>
    <row r="73" spans="1:4" x14ac:dyDescent="0.2">
      <c r="A73" s="3">
        <v>39884</v>
      </c>
      <c r="B73" s="1">
        <v>9</v>
      </c>
      <c r="C73" s="22">
        <v>0.84199999999999997</v>
      </c>
      <c r="D73" s="36">
        <f t="shared" si="7"/>
        <v>7.5779999999999994</v>
      </c>
    </row>
    <row r="74" spans="1:4" x14ac:dyDescent="0.2">
      <c r="A74" s="3">
        <v>39885</v>
      </c>
      <c r="B74" s="1">
        <v>8</v>
      </c>
      <c r="C74" s="22">
        <v>0.76519999999999999</v>
      </c>
      <c r="D74" s="36">
        <f t="shared" si="7"/>
        <v>6.1215999999999999</v>
      </c>
    </row>
    <row r="75" spans="1:4" x14ac:dyDescent="0.2">
      <c r="A75" s="3">
        <v>39886</v>
      </c>
      <c r="B75" s="1">
        <v>5</v>
      </c>
      <c r="C75" s="22">
        <v>0.48209999999999997</v>
      </c>
      <c r="D75" s="36">
        <f t="shared" si="7"/>
        <v>2.4104999999999999</v>
      </c>
    </row>
    <row r="76" spans="1:4" x14ac:dyDescent="0.2">
      <c r="A76" s="3">
        <v>39887</v>
      </c>
      <c r="B76" s="1">
        <v>1</v>
      </c>
      <c r="C76" s="22">
        <v>0.52929999999999999</v>
      </c>
      <c r="D76" s="36">
        <f t="shared" si="7"/>
        <v>0.52929999999999999</v>
      </c>
    </row>
    <row r="77" spans="1:4" x14ac:dyDescent="0.2">
      <c r="A77" s="3">
        <v>39888</v>
      </c>
      <c r="B77" s="1">
        <v>2</v>
      </c>
      <c r="C77" s="22">
        <v>2.8955000000000002</v>
      </c>
      <c r="D77" s="36">
        <f t="shared" si="7"/>
        <v>5.7910000000000004</v>
      </c>
    </row>
    <row r="78" spans="1:4" x14ac:dyDescent="0.2">
      <c r="A78" s="3">
        <v>39889</v>
      </c>
      <c r="B78" s="1">
        <v>2</v>
      </c>
      <c r="C78" s="22">
        <v>1.9699</v>
      </c>
      <c r="D78" s="36">
        <f t="shared" si="7"/>
        <v>3.9398</v>
      </c>
    </row>
    <row r="79" spans="1:4" x14ac:dyDescent="0.2">
      <c r="A79" s="3">
        <v>39890</v>
      </c>
      <c r="B79" s="1">
        <v>2</v>
      </c>
      <c r="C79" s="22">
        <v>2.7479</v>
      </c>
      <c r="D79" s="36">
        <f t="shared" si="7"/>
        <v>5.4958</v>
      </c>
    </row>
    <row r="80" spans="1:4" x14ac:dyDescent="0.2">
      <c r="A80" s="3">
        <v>39891</v>
      </c>
      <c r="B80" s="1">
        <v>12</v>
      </c>
      <c r="C80" s="22">
        <v>0.65710000000000002</v>
      </c>
      <c r="D80" s="36">
        <f t="shared" si="7"/>
        <v>7.8852000000000002</v>
      </c>
    </row>
    <row r="81" spans="1:4" x14ac:dyDescent="0.2">
      <c r="A81" s="3">
        <v>39892</v>
      </c>
      <c r="B81" s="1">
        <v>5</v>
      </c>
      <c r="C81" s="22">
        <v>1.2722</v>
      </c>
      <c r="D81" s="36">
        <f t="shared" si="7"/>
        <v>6.3609999999999998</v>
      </c>
    </row>
    <row r="82" spans="1:4" x14ac:dyDescent="0.2">
      <c r="A82" s="3">
        <v>39893</v>
      </c>
      <c r="B82" s="1">
        <v>1</v>
      </c>
      <c r="C82" s="22">
        <v>0.48749999999999999</v>
      </c>
      <c r="D82" s="36">
        <f t="shared" si="7"/>
        <v>0.48749999999999999</v>
      </c>
    </row>
    <row r="83" spans="1:4" x14ac:dyDescent="0.2">
      <c r="A83" s="3">
        <v>39894</v>
      </c>
      <c r="B83" s="1">
        <v>1</v>
      </c>
      <c r="C83" s="22">
        <v>1.5627</v>
      </c>
      <c r="D83" s="36">
        <f t="shared" si="7"/>
        <v>1.5627</v>
      </c>
    </row>
    <row r="84" spans="1:4" x14ac:dyDescent="0.2">
      <c r="A84" s="3">
        <v>39895</v>
      </c>
      <c r="B84" s="1">
        <v>13</v>
      </c>
      <c r="C84" s="22">
        <v>0.3866</v>
      </c>
      <c r="D84" s="36">
        <f t="shared" si="7"/>
        <v>5.0258000000000003</v>
      </c>
    </row>
    <row r="85" spans="1:4" x14ac:dyDescent="0.2">
      <c r="A85" s="3">
        <v>39896</v>
      </c>
      <c r="B85" s="1">
        <v>5</v>
      </c>
      <c r="C85" s="22">
        <v>1.5423</v>
      </c>
      <c r="D85" s="36">
        <f t="shared" si="7"/>
        <v>7.7115</v>
      </c>
    </row>
    <row r="86" spans="1:4" x14ac:dyDescent="0.2">
      <c r="A86" s="3">
        <v>39897</v>
      </c>
      <c r="B86" s="1">
        <v>3</v>
      </c>
      <c r="C86" s="22">
        <v>0.69379999999999997</v>
      </c>
      <c r="D86" s="36">
        <f t="shared" si="7"/>
        <v>2.0813999999999999</v>
      </c>
    </row>
    <row r="87" spans="1:4" x14ac:dyDescent="0.2">
      <c r="A87" s="3">
        <v>39898</v>
      </c>
      <c r="B87" s="1">
        <v>4</v>
      </c>
      <c r="C87" s="22">
        <v>0.40820000000000001</v>
      </c>
      <c r="D87" s="36">
        <f t="shared" si="7"/>
        <v>1.6328</v>
      </c>
    </row>
    <row r="88" spans="1:4" x14ac:dyDescent="0.2">
      <c r="A88" s="3">
        <v>39899</v>
      </c>
      <c r="B88" s="1">
        <v>8</v>
      </c>
      <c r="C88" s="22">
        <v>0.14860000000000001</v>
      </c>
      <c r="D88" s="36">
        <f t="shared" si="7"/>
        <v>1.1888000000000001</v>
      </c>
    </row>
    <row r="89" spans="1:4" x14ac:dyDescent="0.2">
      <c r="A89" s="3">
        <v>39900</v>
      </c>
      <c r="B89" s="1">
        <v>6</v>
      </c>
      <c r="C89" s="22">
        <v>10.1836</v>
      </c>
      <c r="D89" s="36">
        <f t="shared" si="7"/>
        <v>61.101600000000005</v>
      </c>
    </row>
    <row r="90" spans="1:4" x14ac:dyDescent="0.2">
      <c r="A90" s="3">
        <v>39901</v>
      </c>
      <c r="B90" s="1">
        <v>8</v>
      </c>
      <c r="C90" s="22">
        <v>0.75539999999999996</v>
      </c>
      <c r="D90" s="36">
        <f t="shared" si="7"/>
        <v>6.0431999999999997</v>
      </c>
    </row>
    <row r="91" spans="1:4" x14ac:dyDescent="0.2">
      <c r="A91" s="3">
        <v>39902</v>
      </c>
      <c r="B91" s="1">
        <v>7</v>
      </c>
      <c r="C91" s="22">
        <v>1.224</v>
      </c>
      <c r="D91" s="36">
        <f t="shared" si="7"/>
        <v>8.5679999999999996</v>
      </c>
    </row>
    <row r="92" spans="1:4" x14ac:dyDescent="0.2">
      <c r="A92" s="3">
        <v>39903</v>
      </c>
      <c r="B92" s="1">
        <v>10</v>
      </c>
      <c r="C92" s="22">
        <v>4.2794999999999996</v>
      </c>
      <c r="D92" s="36">
        <f t="shared" si="7"/>
        <v>42.794999999999995</v>
      </c>
    </row>
    <row r="93" spans="1:4" x14ac:dyDescent="0.2">
      <c r="A93" s="3">
        <v>39904</v>
      </c>
      <c r="B93" s="1">
        <v>1</v>
      </c>
      <c r="C93" s="22">
        <v>3.2892000000000001</v>
      </c>
      <c r="D93" s="36">
        <f t="shared" si="7"/>
        <v>3.2892000000000001</v>
      </c>
    </row>
    <row r="94" spans="1:4" x14ac:dyDescent="0.2">
      <c r="A94" s="3">
        <v>39905</v>
      </c>
      <c r="B94" s="1">
        <v>3</v>
      </c>
      <c r="C94" s="22">
        <v>3.5078</v>
      </c>
      <c r="D94" s="36">
        <f t="shared" si="7"/>
        <v>10.523400000000001</v>
      </c>
    </row>
    <row r="95" spans="1:4" x14ac:dyDescent="0.2">
      <c r="A95" s="3">
        <v>39906</v>
      </c>
      <c r="B95" s="1">
        <v>3</v>
      </c>
      <c r="C95" s="22">
        <v>1.3609</v>
      </c>
      <c r="D95" s="36">
        <f t="shared" si="7"/>
        <v>4.0827</v>
      </c>
    </row>
    <row r="96" spans="1:4" x14ac:dyDescent="0.2">
      <c r="A96" s="3">
        <v>39907</v>
      </c>
      <c r="B96" s="1">
        <v>2</v>
      </c>
      <c r="C96" s="22">
        <v>2.3814000000000002</v>
      </c>
      <c r="D96" s="36">
        <f t="shared" si="7"/>
        <v>4.7628000000000004</v>
      </c>
    </row>
    <row r="97" spans="1:4" x14ac:dyDescent="0.2">
      <c r="A97" s="3">
        <v>39908</v>
      </c>
      <c r="B97" s="1">
        <v>1</v>
      </c>
      <c r="C97" s="22">
        <v>2.1093999999999999</v>
      </c>
      <c r="D97" s="36">
        <f t="shared" si="7"/>
        <v>2.1093999999999999</v>
      </c>
    </row>
    <row r="98" spans="1:4" x14ac:dyDescent="0.2">
      <c r="A98" s="3">
        <v>39909</v>
      </c>
      <c r="B98" s="1">
        <v>1</v>
      </c>
      <c r="C98" s="22">
        <v>1.3815999999999999</v>
      </c>
      <c r="D98" s="36">
        <f t="shared" si="7"/>
        <v>1.3815999999999999</v>
      </c>
    </row>
    <row r="99" spans="1:4" x14ac:dyDescent="0.2">
      <c r="A99" s="3">
        <v>39910</v>
      </c>
      <c r="B99" s="1">
        <v>6</v>
      </c>
      <c r="C99" s="22">
        <v>1.2785</v>
      </c>
      <c r="D99" s="36">
        <f t="shared" si="7"/>
        <v>7.6709999999999994</v>
      </c>
    </row>
    <row r="100" spans="1:4" x14ac:dyDescent="0.2">
      <c r="A100" s="3">
        <v>39911</v>
      </c>
      <c r="B100" s="1">
        <v>1</v>
      </c>
      <c r="C100" s="22">
        <v>0.67879999999999996</v>
      </c>
      <c r="D100" s="36">
        <f t="shared" si="7"/>
        <v>0.67879999999999996</v>
      </c>
    </row>
    <row r="101" spans="1:4" x14ac:dyDescent="0.2">
      <c r="A101" s="3">
        <v>39912</v>
      </c>
      <c r="B101" s="1">
        <v>3</v>
      </c>
      <c r="C101" s="22">
        <v>14.7925</v>
      </c>
      <c r="D101" s="36">
        <f t="shared" si="7"/>
        <v>44.377499999999998</v>
      </c>
    </row>
    <row r="102" spans="1:4" x14ac:dyDescent="0.2">
      <c r="A102" s="3">
        <v>39913</v>
      </c>
      <c r="B102" s="1">
        <v>2</v>
      </c>
      <c r="C102" s="22">
        <v>2.3439000000000001</v>
      </c>
      <c r="D102" s="36">
        <f t="shared" si="7"/>
        <v>4.6878000000000002</v>
      </c>
    </row>
    <row r="103" spans="1:4" x14ac:dyDescent="0.2">
      <c r="A103" s="3">
        <v>39914</v>
      </c>
      <c r="B103" s="1">
        <v>9</v>
      </c>
      <c r="C103" s="22">
        <v>0.86260000000000003</v>
      </c>
      <c r="D103" s="36">
        <f t="shared" si="7"/>
        <v>7.7634000000000007</v>
      </c>
    </row>
    <row r="104" spans="1:4" x14ac:dyDescent="0.2">
      <c r="A104" s="3">
        <v>39915</v>
      </c>
      <c r="B104" s="1">
        <v>1</v>
      </c>
      <c r="C104" s="22">
        <v>0.61980000000000002</v>
      </c>
      <c r="D104" s="36">
        <f t="shared" si="7"/>
        <v>0.61980000000000002</v>
      </c>
    </row>
    <row r="105" spans="1:4" x14ac:dyDescent="0.2">
      <c r="A105" s="3">
        <v>39916</v>
      </c>
      <c r="B105" s="1">
        <v>7</v>
      </c>
      <c r="C105" s="22">
        <v>1.7490000000000001</v>
      </c>
      <c r="D105" s="36">
        <f t="shared" si="7"/>
        <v>12.243</v>
      </c>
    </row>
    <row r="106" spans="1:4" x14ac:dyDescent="0.2">
      <c r="A106" s="3">
        <v>39917</v>
      </c>
      <c r="B106" s="1">
        <v>1</v>
      </c>
      <c r="C106" s="22">
        <v>0.33889999999999998</v>
      </c>
      <c r="D106" s="36">
        <f t="shared" si="7"/>
        <v>0.33889999999999998</v>
      </c>
    </row>
    <row r="107" spans="1:4" x14ac:dyDescent="0.2">
      <c r="A107" s="3">
        <v>39918</v>
      </c>
      <c r="B107" s="1">
        <v>4</v>
      </c>
      <c r="C107" s="22">
        <v>1.9463999999999999</v>
      </c>
      <c r="D107" s="36">
        <f t="shared" si="7"/>
        <v>7.7855999999999996</v>
      </c>
    </row>
    <row r="108" spans="1:4" x14ac:dyDescent="0.2">
      <c r="A108" s="3">
        <v>39919</v>
      </c>
      <c r="B108" s="1">
        <v>4</v>
      </c>
      <c r="C108" s="22">
        <v>0.18579999999999999</v>
      </c>
      <c r="D108" s="36">
        <f t="shared" si="7"/>
        <v>0.74319999999999997</v>
      </c>
    </row>
    <row r="109" spans="1:4" x14ac:dyDescent="0.2">
      <c r="A109" s="3">
        <v>39920</v>
      </c>
      <c r="B109" s="1">
        <v>6</v>
      </c>
      <c r="C109" s="22">
        <v>0.36549999999999999</v>
      </c>
      <c r="D109" s="36">
        <f t="shared" si="7"/>
        <v>2.1930000000000001</v>
      </c>
    </row>
    <row r="110" spans="1:4" x14ac:dyDescent="0.2">
      <c r="A110" s="3">
        <v>39921</v>
      </c>
      <c r="B110" s="1">
        <v>9</v>
      </c>
      <c r="C110" s="22">
        <v>0.84850000000000003</v>
      </c>
      <c r="D110" s="36">
        <f t="shared" si="7"/>
        <v>7.6364999999999998</v>
      </c>
    </row>
    <row r="111" spans="1:4" x14ac:dyDescent="0.2">
      <c r="A111" s="3">
        <v>39922</v>
      </c>
      <c r="B111" s="1">
        <v>5</v>
      </c>
      <c r="C111" s="22">
        <v>5.6318999999999999</v>
      </c>
      <c r="D111" s="36">
        <f t="shared" si="7"/>
        <v>28.159500000000001</v>
      </c>
    </row>
    <row r="112" spans="1:4" x14ac:dyDescent="0.2">
      <c r="A112" s="3">
        <v>39923</v>
      </c>
      <c r="B112" s="1">
        <v>2</v>
      </c>
      <c r="C112" s="22">
        <v>1.1226</v>
      </c>
      <c r="D112" s="36">
        <f t="shared" si="7"/>
        <v>2.2452000000000001</v>
      </c>
    </row>
    <row r="113" spans="1:4" x14ac:dyDescent="0.2">
      <c r="A113" s="3">
        <v>39924</v>
      </c>
      <c r="B113" s="1">
        <v>6</v>
      </c>
      <c r="C113" s="22">
        <v>1.6892</v>
      </c>
      <c r="D113" s="36">
        <f t="shared" si="7"/>
        <v>10.135200000000001</v>
      </c>
    </row>
    <row r="114" spans="1:4" x14ac:dyDescent="0.2">
      <c r="A114" s="3">
        <v>39925</v>
      </c>
      <c r="B114" s="1">
        <v>8</v>
      </c>
      <c r="C114" s="22">
        <v>0.60899999999999999</v>
      </c>
      <c r="D114" s="36">
        <f t="shared" si="7"/>
        <v>4.8719999999999999</v>
      </c>
    </row>
    <row r="115" spans="1:4" x14ac:dyDescent="0.2">
      <c r="A115" s="3">
        <v>39926</v>
      </c>
      <c r="B115" s="1">
        <v>1</v>
      </c>
      <c r="C115" s="22">
        <v>2.3382000000000001</v>
      </c>
      <c r="D115" s="36">
        <f t="shared" si="7"/>
        <v>2.3382000000000001</v>
      </c>
    </row>
    <row r="116" spans="1:4" x14ac:dyDescent="0.2">
      <c r="A116" s="3">
        <v>39927</v>
      </c>
      <c r="B116" s="1">
        <v>6</v>
      </c>
      <c r="C116" s="22">
        <v>5.9168000000000003</v>
      </c>
      <c r="D116" s="36">
        <f t="shared" si="7"/>
        <v>35.500799999999998</v>
      </c>
    </row>
    <row r="117" spans="1:4" x14ac:dyDescent="0.2">
      <c r="A117" s="3">
        <v>39928</v>
      </c>
      <c r="B117" s="1">
        <v>1</v>
      </c>
      <c r="C117" s="22">
        <v>4.9269999999999996</v>
      </c>
      <c r="D117" s="36">
        <f t="shared" si="7"/>
        <v>4.9269999999999996</v>
      </c>
    </row>
    <row r="118" spans="1:4" x14ac:dyDescent="0.2">
      <c r="A118" s="3">
        <v>39929</v>
      </c>
      <c r="B118" s="1">
        <v>5</v>
      </c>
      <c r="C118" s="22">
        <v>1.9072</v>
      </c>
      <c r="D118" s="36">
        <f t="shared" si="7"/>
        <v>9.5359999999999996</v>
      </c>
    </row>
    <row r="119" spans="1:4" x14ac:dyDescent="0.2">
      <c r="A119" s="3">
        <v>39930</v>
      </c>
      <c r="B119" s="1">
        <v>8</v>
      </c>
      <c r="C119" s="22">
        <v>1.6378999999999999</v>
      </c>
      <c r="D119" s="36">
        <f t="shared" si="7"/>
        <v>13.103199999999999</v>
      </c>
    </row>
    <row r="120" spans="1:4" x14ac:dyDescent="0.2">
      <c r="A120" s="3">
        <v>39931</v>
      </c>
      <c r="B120" s="1">
        <v>4</v>
      </c>
      <c r="C120" s="22">
        <v>1.1066</v>
      </c>
      <c r="D120" s="36">
        <f t="shared" si="7"/>
        <v>4.4264000000000001</v>
      </c>
    </row>
    <row r="121" spans="1:4" x14ac:dyDescent="0.2">
      <c r="A121" s="3">
        <v>39932</v>
      </c>
      <c r="B121" s="1">
        <v>8</v>
      </c>
      <c r="C121" s="22">
        <v>3.3024</v>
      </c>
      <c r="D121" s="36">
        <f t="shared" si="7"/>
        <v>26.4192</v>
      </c>
    </row>
    <row r="122" spans="1:4" x14ac:dyDescent="0.2">
      <c r="A122" s="3">
        <v>39933</v>
      </c>
      <c r="B122" s="1">
        <v>8</v>
      </c>
      <c r="C122" s="22">
        <v>0.79090000000000005</v>
      </c>
      <c r="D122" s="36">
        <f t="shared" si="7"/>
        <v>6.3272000000000004</v>
      </c>
    </row>
    <row r="123" spans="1:4" x14ac:dyDescent="0.2">
      <c r="A123" s="3">
        <v>39934</v>
      </c>
      <c r="B123" s="1">
        <v>8</v>
      </c>
      <c r="C123" s="22">
        <v>0.18659999999999999</v>
      </c>
      <c r="D123" s="36">
        <f t="shared" si="7"/>
        <v>1.4927999999999999</v>
      </c>
    </row>
    <row r="124" spans="1:4" x14ac:dyDescent="0.2">
      <c r="A124" s="3">
        <v>39935</v>
      </c>
      <c r="B124" s="1">
        <v>4</v>
      </c>
      <c r="C124" s="22">
        <v>0.81559999999999999</v>
      </c>
      <c r="D124" s="36">
        <f t="shared" si="7"/>
        <v>3.2624</v>
      </c>
    </row>
    <row r="125" spans="1:4" x14ac:dyDescent="0.2">
      <c r="A125" s="3">
        <v>39936</v>
      </c>
      <c r="B125" s="1">
        <v>3</v>
      </c>
      <c r="C125" s="22">
        <v>3.4382999999999999</v>
      </c>
      <c r="D125" s="36">
        <f t="shared" si="7"/>
        <v>10.3149</v>
      </c>
    </row>
    <row r="126" spans="1:4" x14ac:dyDescent="0.2">
      <c r="A126" s="3">
        <v>39937</v>
      </c>
      <c r="B126" s="1">
        <v>1</v>
      </c>
      <c r="C126" s="22">
        <v>2.8273000000000001</v>
      </c>
      <c r="D126" s="36">
        <f t="shared" si="7"/>
        <v>2.8273000000000001</v>
      </c>
    </row>
    <row r="127" spans="1:4" x14ac:dyDescent="0.2">
      <c r="A127" s="3">
        <v>39938</v>
      </c>
      <c r="B127" s="1">
        <v>10</v>
      </c>
      <c r="C127" s="22">
        <v>0.69279999999999997</v>
      </c>
      <c r="D127" s="36">
        <f t="shared" si="7"/>
        <v>6.9279999999999999</v>
      </c>
    </row>
    <row r="128" spans="1:4" x14ac:dyDescent="0.2">
      <c r="A128" s="3">
        <v>39939</v>
      </c>
      <c r="B128" s="1">
        <v>8</v>
      </c>
      <c r="C128" s="22">
        <v>1.9706999999999999</v>
      </c>
      <c r="D128" s="36">
        <f t="shared" si="7"/>
        <v>15.765599999999999</v>
      </c>
    </row>
    <row r="129" spans="1:4" x14ac:dyDescent="0.2">
      <c r="A129" s="3">
        <v>39940</v>
      </c>
      <c r="B129" s="1">
        <v>3</v>
      </c>
      <c r="C129" s="22">
        <v>3.2738</v>
      </c>
      <c r="D129" s="36">
        <f t="shared" si="7"/>
        <v>9.8214000000000006</v>
      </c>
    </row>
    <row r="130" spans="1:4" x14ac:dyDescent="0.2">
      <c r="A130" s="3">
        <v>39941</v>
      </c>
      <c r="B130" s="1">
        <v>2</v>
      </c>
      <c r="C130" s="22">
        <v>1.6939</v>
      </c>
      <c r="D130" s="36">
        <f t="shared" si="7"/>
        <v>3.3877999999999999</v>
      </c>
    </row>
    <row r="131" spans="1:4" x14ac:dyDescent="0.2">
      <c r="A131" s="3">
        <v>39942</v>
      </c>
      <c r="B131" s="1">
        <v>2</v>
      </c>
      <c r="C131" s="22">
        <v>0.49330000000000002</v>
      </c>
      <c r="D131" s="36">
        <f t="shared" si="7"/>
        <v>0.98660000000000003</v>
      </c>
    </row>
    <row r="132" spans="1:4" x14ac:dyDescent="0.2">
      <c r="A132" s="3">
        <v>39943</v>
      </c>
      <c r="B132" s="1">
        <v>5</v>
      </c>
      <c r="C132" s="22">
        <v>0.53910000000000002</v>
      </c>
      <c r="D132" s="36">
        <f t="shared" ref="D132:D195" si="8">B132*C132</f>
        <v>2.6955</v>
      </c>
    </row>
    <row r="133" spans="1:4" x14ac:dyDescent="0.2">
      <c r="A133" s="3">
        <v>39944</v>
      </c>
      <c r="B133" s="1">
        <v>6</v>
      </c>
      <c r="C133" s="22">
        <v>1.1525000000000001</v>
      </c>
      <c r="D133" s="36">
        <f t="shared" si="8"/>
        <v>6.9150000000000009</v>
      </c>
    </row>
    <row r="134" spans="1:4" x14ac:dyDescent="0.2">
      <c r="A134" s="3">
        <v>39945</v>
      </c>
      <c r="B134" s="1">
        <v>6</v>
      </c>
      <c r="C134" s="22">
        <v>0.9738</v>
      </c>
      <c r="D134" s="36">
        <f t="shared" si="8"/>
        <v>5.8428000000000004</v>
      </c>
    </row>
    <row r="135" spans="1:4" x14ac:dyDescent="0.2">
      <c r="A135" s="3">
        <v>39946</v>
      </c>
      <c r="B135" s="1">
        <v>3</v>
      </c>
      <c r="C135" s="22">
        <v>5.5014000000000003</v>
      </c>
      <c r="D135" s="36">
        <f t="shared" si="8"/>
        <v>16.504200000000001</v>
      </c>
    </row>
    <row r="136" spans="1:4" x14ac:dyDescent="0.2">
      <c r="A136" s="3">
        <v>39947</v>
      </c>
      <c r="B136" s="1">
        <v>4</v>
      </c>
      <c r="C136" s="22">
        <v>11.3835</v>
      </c>
      <c r="D136" s="36">
        <f t="shared" si="8"/>
        <v>45.533999999999999</v>
      </c>
    </row>
    <row r="137" spans="1:4" x14ac:dyDescent="0.2">
      <c r="A137" s="3">
        <v>39948</v>
      </c>
      <c r="B137" s="1">
        <v>5</v>
      </c>
      <c r="C137" s="22">
        <v>0.99729999999999996</v>
      </c>
      <c r="D137" s="36">
        <f t="shared" si="8"/>
        <v>4.9864999999999995</v>
      </c>
    </row>
    <row r="138" spans="1:4" x14ac:dyDescent="0.2">
      <c r="A138" s="3">
        <v>39949</v>
      </c>
      <c r="B138" s="1">
        <v>2</v>
      </c>
      <c r="C138" s="22">
        <v>0.69920000000000004</v>
      </c>
      <c r="D138" s="36">
        <f t="shared" si="8"/>
        <v>1.3984000000000001</v>
      </c>
    </row>
    <row r="139" spans="1:4" x14ac:dyDescent="0.2">
      <c r="A139" s="3">
        <v>39950</v>
      </c>
      <c r="B139" s="1">
        <v>6</v>
      </c>
      <c r="C139" s="22">
        <v>0.45590000000000003</v>
      </c>
      <c r="D139" s="36">
        <f t="shared" si="8"/>
        <v>2.7354000000000003</v>
      </c>
    </row>
    <row r="140" spans="1:4" x14ac:dyDescent="0.2">
      <c r="A140" s="3">
        <v>39951</v>
      </c>
      <c r="B140" s="1">
        <v>8</v>
      </c>
      <c r="C140" s="22">
        <v>1.6022000000000001</v>
      </c>
      <c r="D140" s="36">
        <f t="shared" si="8"/>
        <v>12.817600000000001</v>
      </c>
    </row>
    <row r="141" spans="1:4" x14ac:dyDescent="0.2">
      <c r="A141" s="3">
        <v>39952</v>
      </c>
      <c r="B141" s="1">
        <v>6</v>
      </c>
      <c r="C141" s="22">
        <v>1.2101999999999999</v>
      </c>
      <c r="D141" s="36">
        <f t="shared" si="8"/>
        <v>7.2611999999999997</v>
      </c>
    </row>
    <row r="142" spans="1:4" x14ac:dyDescent="0.2">
      <c r="A142" s="3">
        <v>39953</v>
      </c>
      <c r="B142" s="1">
        <v>3</v>
      </c>
      <c r="C142" s="22">
        <v>0.51270000000000004</v>
      </c>
      <c r="D142" s="36">
        <f t="shared" si="8"/>
        <v>1.5381</v>
      </c>
    </row>
    <row r="143" spans="1:4" x14ac:dyDescent="0.2">
      <c r="A143" s="3">
        <v>39954</v>
      </c>
      <c r="B143" s="1">
        <v>2</v>
      </c>
      <c r="C143" s="22">
        <v>0.29139999999999999</v>
      </c>
      <c r="D143" s="36">
        <f t="shared" si="8"/>
        <v>0.58279999999999998</v>
      </c>
    </row>
    <row r="144" spans="1:4" x14ac:dyDescent="0.2">
      <c r="A144" s="3">
        <v>39955</v>
      </c>
      <c r="B144" s="1">
        <v>2</v>
      </c>
      <c r="C144" s="22">
        <v>0.83499999999999996</v>
      </c>
      <c r="D144" s="36">
        <f t="shared" si="8"/>
        <v>1.67</v>
      </c>
    </row>
    <row r="145" spans="1:4" x14ac:dyDescent="0.2">
      <c r="A145" s="3">
        <v>39956</v>
      </c>
      <c r="B145" s="1">
        <v>9</v>
      </c>
      <c r="C145" s="22">
        <v>0.16830000000000001</v>
      </c>
      <c r="D145" s="36">
        <f t="shared" si="8"/>
        <v>1.5146999999999999</v>
      </c>
    </row>
    <row r="146" spans="1:4" x14ac:dyDescent="0.2">
      <c r="A146" s="3">
        <v>39957</v>
      </c>
      <c r="B146" s="1">
        <v>6</v>
      </c>
      <c r="C146" s="22">
        <v>2.1316999999999999</v>
      </c>
      <c r="D146" s="36">
        <f t="shared" si="8"/>
        <v>12.790199999999999</v>
      </c>
    </row>
    <row r="147" spans="1:4" x14ac:dyDescent="0.2">
      <c r="A147" s="3">
        <v>39958</v>
      </c>
      <c r="B147" s="1">
        <v>2</v>
      </c>
      <c r="C147" s="22">
        <v>2.1065</v>
      </c>
      <c r="D147" s="36">
        <f t="shared" si="8"/>
        <v>4.2130000000000001</v>
      </c>
    </row>
    <row r="148" spans="1:4" x14ac:dyDescent="0.2">
      <c r="A148" s="3">
        <v>39959</v>
      </c>
      <c r="B148" s="1">
        <v>9</v>
      </c>
      <c r="C148" s="22">
        <v>1.2843</v>
      </c>
      <c r="D148" s="36">
        <f t="shared" si="8"/>
        <v>11.5587</v>
      </c>
    </row>
    <row r="149" spans="1:4" x14ac:dyDescent="0.2">
      <c r="A149" s="3">
        <v>39960</v>
      </c>
      <c r="B149" s="1">
        <v>2</v>
      </c>
      <c r="C149" s="22">
        <v>1.8091999999999999</v>
      </c>
      <c r="D149" s="36">
        <f t="shared" si="8"/>
        <v>3.6183999999999998</v>
      </c>
    </row>
    <row r="150" spans="1:4" x14ac:dyDescent="0.2">
      <c r="A150" s="3">
        <v>39961</v>
      </c>
      <c r="B150" s="1">
        <v>12</v>
      </c>
      <c r="C150" s="22">
        <v>2.3534000000000002</v>
      </c>
      <c r="D150" s="36">
        <f t="shared" si="8"/>
        <v>28.2408</v>
      </c>
    </row>
    <row r="151" spans="1:4" x14ac:dyDescent="0.2">
      <c r="A151" s="3">
        <v>39962</v>
      </c>
      <c r="B151" s="1">
        <v>2</v>
      </c>
      <c r="C151" s="22">
        <v>0.16189999999999999</v>
      </c>
      <c r="D151" s="36">
        <f t="shared" si="8"/>
        <v>0.32379999999999998</v>
      </c>
    </row>
    <row r="152" spans="1:4" x14ac:dyDescent="0.2">
      <c r="A152" s="3">
        <v>39963</v>
      </c>
      <c r="B152" s="1">
        <v>9</v>
      </c>
      <c r="C152" s="22">
        <v>0.77470000000000006</v>
      </c>
      <c r="D152" s="36">
        <f t="shared" si="8"/>
        <v>6.9723000000000006</v>
      </c>
    </row>
    <row r="153" spans="1:4" x14ac:dyDescent="0.2">
      <c r="A153" s="3">
        <v>39964</v>
      </c>
      <c r="B153" s="1">
        <v>1</v>
      </c>
      <c r="C153" s="22">
        <v>0.27</v>
      </c>
      <c r="D153" s="36">
        <f t="shared" si="8"/>
        <v>0.27</v>
      </c>
    </row>
    <row r="154" spans="1:4" x14ac:dyDescent="0.2">
      <c r="A154" s="3">
        <v>39965</v>
      </c>
      <c r="B154" s="1">
        <v>11</v>
      </c>
      <c r="C154" s="22">
        <v>4.9466000000000001</v>
      </c>
      <c r="D154" s="36">
        <f t="shared" si="8"/>
        <v>54.412599999999998</v>
      </c>
    </row>
    <row r="155" spans="1:4" x14ac:dyDescent="0.2">
      <c r="A155" s="3">
        <v>39966</v>
      </c>
      <c r="B155" s="1">
        <v>6</v>
      </c>
      <c r="C155" s="22">
        <v>0.95179999999999998</v>
      </c>
      <c r="D155" s="36">
        <f t="shared" si="8"/>
        <v>5.7107999999999999</v>
      </c>
    </row>
    <row r="156" spans="1:4" x14ac:dyDescent="0.2">
      <c r="A156" s="3">
        <v>39967</v>
      </c>
      <c r="B156" s="1">
        <v>2</v>
      </c>
      <c r="C156" s="22">
        <v>0.54039999999999999</v>
      </c>
      <c r="D156" s="36">
        <f t="shared" si="8"/>
        <v>1.0808</v>
      </c>
    </row>
    <row r="157" spans="1:4" x14ac:dyDescent="0.2">
      <c r="A157" s="3">
        <v>39968</v>
      </c>
      <c r="B157" s="1">
        <v>4</v>
      </c>
      <c r="C157" s="22">
        <v>2.0693999999999999</v>
      </c>
      <c r="D157" s="36">
        <f t="shared" si="8"/>
        <v>8.2775999999999996</v>
      </c>
    </row>
    <row r="158" spans="1:4" x14ac:dyDescent="0.2">
      <c r="A158" s="3">
        <v>39969</v>
      </c>
      <c r="B158" s="1">
        <v>9</v>
      </c>
      <c r="C158" s="22">
        <v>2.0749</v>
      </c>
      <c r="D158" s="36">
        <f t="shared" si="8"/>
        <v>18.674099999999999</v>
      </c>
    </row>
    <row r="159" spans="1:4" x14ac:dyDescent="0.2">
      <c r="A159" s="3">
        <v>39970</v>
      </c>
      <c r="B159" s="1">
        <v>1</v>
      </c>
      <c r="C159" s="22">
        <v>3.0068000000000001</v>
      </c>
      <c r="D159" s="36">
        <f t="shared" si="8"/>
        <v>3.0068000000000001</v>
      </c>
    </row>
    <row r="160" spans="1:4" x14ac:dyDescent="0.2">
      <c r="A160" s="3">
        <v>39971</v>
      </c>
      <c r="B160" s="1">
        <v>6</v>
      </c>
      <c r="C160" s="22">
        <v>2.6076999999999999</v>
      </c>
      <c r="D160" s="36">
        <f t="shared" si="8"/>
        <v>15.6462</v>
      </c>
    </row>
    <row r="161" spans="1:4" x14ac:dyDescent="0.2">
      <c r="A161" s="3">
        <v>39972</v>
      </c>
      <c r="B161" s="1">
        <v>4</v>
      </c>
      <c r="C161" s="22">
        <v>2.3599000000000001</v>
      </c>
      <c r="D161" s="36">
        <f t="shared" si="8"/>
        <v>9.4396000000000004</v>
      </c>
    </row>
    <row r="162" spans="1:4" x14ac:dyDescent="0.2">
      <c r="A162" s="3">
        <v>39973</v>
      </c>
      <c r="B162" s="1">
        <v>13</v>
      </c>
      <c r="C162" s="22">
        <v>0.81689999999999996</v>
      </c>
      <c r="D162" s="36">
        <f t="shared" si="8"/>
        <v>10.6197</v>
      </c>
    </row>
    <row r="163" spans="1:4" x14ac:dyDescent="0.2">
      <c r="A163" s="3">
        <v>39974</v>
      </c>
      <c r="B163" s="1">
        <v>6</v>
      </c>
      <c r="C163" s="22">
        <v>0.93510000000000004</v>
      </c>
      <c r="D163" s="36">
        <f t="shared" si="8"/>
        <v>5.6105999999999998</v>
      </c>
    </row>
    <row r="164" spans="1:4" x14ac:dyDescent="0.2">
      <c r="A164" s="3">
        <v>39975</v>
      </c>
      <c r="B164" s="1">
        <v>1</v>
      </c>
      <c r="C164" s="22">
        <v>0.31509999999999999</v>
      </c>
      <c r="D164" s="36">
        <f t="shared" si="8"/>
        <v>0.31509999999999999</v>
      </c>
    </row>
    <row r="165" spans="1:4" x14ac:dyDescent="0.2">
      <c r="A165" s="3">
        <v>39976</v>
      </c>
      <c r="B165" s="1">
        <v>5</v>
      </c>
      <c r="C165" s="22">
        <v>1.2129000000000001</v>
      </c>
      <c r="D165" s="36">
        <f t="shared" si="8"/>
        <v>6.0645000000000007</v>
      </c>
    </row>
    <row r="166" spans="1:4" x14ac:dyDescent="0.2">
      <c r="A166" s="3">
        <v>39977</v>
      </c>
      <c r="B166" s="1">
        <v>4</v>
      </c>
      <c r="C166" s="22">
        <v>0.95330000000000004</v>
      </c>
      <c r="D166" s="36">
        <f t="shared" si="8"/>
        <v>3.8132000000000001</v>
      </c>
    </row>
    <row r="167" spans="1:4" x14ac:dyDescent="0.2">
      <c r="A167" s="3">
        <v>39978</v>
      </c>
      <c r="B167" s="1">
        <v>7</v>
      </c>
      <c r="C167" s="22">
        <v>3.8336999999999999</v>
      </c>
      <c r="D167" s="36">
        <f t="shared" si="8"/>
        <v>26.835899999999999</v>
      </c>
    </row>
    <row r="168" spans="1:4" x14ac:dyDescent="0.2">
      <c r="A168" s="3">
        <v>39979</v>
      </c>
      <c r="B168" s="1">
        <v>1</v>
      </c>
      <c r="C168" s="22">
        <v>0.8619</v>
      </c>
      <c r="D168" s="36">
        <f t="shared" si="8"/>
        <v>0.8619</v>
      </c>
    </row>
    <row r="169" spans="1:4" x14ac:dyDescent="0.2">
      <c r="A169" s="3">
        <v>39980</v>
      </c>
      <c r="B169" s="1">
        <v>3</v>
      </c>
      <c r="C169" s="22">
        <v>0.47610000000000002</v>
      </c>
      <c r="D169" s="36">
        <f t="shared" si="8"/>
        <v>1.4283000000000001</v>
      </c>
    </row>
    <row r="170" spans="1:4" x14ac:dyDescent="0.2">
      <c r="A170" s="3">
        <v>39981</v>
      </c>
      <c r="B170" s="1">
        <v>5</v>
      </c>
      <c r="C170" s="22">
        <v>0.40010000000000001</v>
      </c>
      <c r="D170" s="36">
        <f t="shared" si="8"/>
        <v>2.0005000000000002</v>
      </c>
    </row>
    <row r="171" spans="1:4" x14ac:dyDescent="0.2">
      <c r="A171" s="3">
        <v>39982</v>
      </c>
      <c r="B171" s="1">
        <v>8</v>
      </c>
      <c r="C171" s="22">
        <v>3.0356999999999998</v>
      </c>
      <c r="D171" s="36">
        <f t="shared" si="8"/>
        <v>24.285599999999999</v>
      </c>
    </row>
    <row r="172" spans="1:4" x14ac:dyDescent="0.2">
      <c r="A172" s="3">
        <v>39983</v>
      </c>
      <c r="B172" s="1">
        <v>2</v>
      </c>
      <c r="C172" s="22">
        <v>1.3642000000000001</v>
      </c>
      <c r="D172" s="36">
        <f t="shared" si="8"/>
        <v>2.7284000000000002</v>
      </c>
    </row>
    <row r="173" spans="1:4" x14ac:dyDescent="0.2">
      <c r="A173" s="3">
        <v>39984</v>
      </c>
      <c r="B173" s="1">
        <v>4</v>
      </c>
      <c r="C173" s="22">
        <v>4.0083000000000002</v>
      </c>
      <c r="D173" s="36">
        <f t="shared" si="8"/>
        <v>16.033200000000001</v>
      </c>
    </row>
    <row r="174" spans="1:4" x14ac:dyDescent="0.2">
      <c r="A174" s="3">
        <v>39985</v>
      </c>
      <c r="B174" s="1">
        <v>2</v>
      </c>
      <c r="C174" s="22">
        <v>1.4460999999999999</v>
      </c>
      <c r="D174" s="36">
        <f t="shared" si="8"/>
        <v>2.8921999999999999</v>
      </c>
    </row>
    <row r="175" spans="1:4" x14ac:dyDescent="0.2">
      <c r="A175" s="3">
        <v>39986</v>
      </c>
      <c r="B175" s="1">
        <v>2</v>
      </c>
      <c r="C175" s="22">
        <v>2.2250999999999999</v>
      </c>
      <c r="D175" s="36">
        <f t="shared" si="8"/>
        <v>4.4501999999999997</v>
      </c>
    </row>
    <row r="176" spans="1:4" x14ac:dyDescent="0.2">
      <c r="A176" s="3">
        <v>39987</v>
      </c>
      <c r="B176" s="1">
        <v>10</v>
      </c>
      <c r="C176" s="22">
        <v>2.3130999999999999</v>
      </c>
      <c r="D176" s="36">
        <f t="shared" si="8"/>
        <v>23.131</v>
      </c>
    </row>
    <row r="177" spans="1:4" x14ac:dyDescent="0.2">
      <c r="A177" s="3">
        <v>39988</v>
      </c>
      <c r="B177" s="1">
        <v>6</v>
      </c>
      <c r="C177" s="22">
        <v>0.27729999999999999</v>
      </c>
      <c r="D177" s="36">
        <f t="shared" si="8"/>
        <v>1.6637999999999999</v>
      </c>
    </row>
    <row r="178" spans="1:4" x14ac:dyDescent="0.2">
      <c r="A178" s="3">
        <v>39989</v>
      </c>
      <c r="B178" s="1">
        <v>4</v>
      </c>
      <c r="C178" s="22">
        <v>1.5291999999999999</v>
      </c>
      <c r="D178" s="36">
        <f t="shared" si="8"/>
        <v>6.1167999999999996</v>
      </c>
    </row>
    <row r="179" spans="1:4" x14ac:dyDescent="0.2">
      <c r="A179" s="3">
        <v>39990</v>
      </c>
      <c r="B179" s="1">
        <v>3</v>
      </c>
      <c r="C179" s="22">
        <v>1.7068000000000001</v>
      </c>
      <c r="D179" s="36">
        <f t="shared" si="8"/>
        <v>5.1204000000000001</v>
      </c>
    </row>
    <row r="180" spans="1:4" x14ac:dyDescent="0.2">
      <c r="A180" s="3">
        <v>39991</v>
      </c>
      <c r="B180" s="1">
        <v>1</v>
      </c>
      <c r="C180" s="22">
        <v>1.6595</v>
      </c>
      <c r="D180" s="36">
        <f t="shared" si="8"/>
        <v>1.6595</v>
      </c>
    </row>
    <row r="181" spans="1:4" x14ac:dyDescent="0.2">
      <c r="A181" s="3">
        <v>39992</v>
      </c>
      <c r="B181" s="1">
        <v>2</v>
      </c>
      <c r="C181" s="22">
        <v>1.1397999999999999</v>
      </c>
      <c r="D181" s="36">
        <f t="shared" si="8"/>
        <v>2.2795999999999998</v>
      </c>
    </row>
    <row r="182" spans="1:4" x14ac:dyDescent="0.2">
      <c r="A182" s="3">
        <v>39993</v>
      </c>
      <c r="B182" s="1">
        <v>4</v>
      </c>
      <c r="C182" s="22">
        <v>1.1309</v>
      </c>
      <c r="D182" s="36">
        <f t="shared" si="8"/>
        <v>4.5236000000000001</v>
      </c>
    </row>
    <row r="183" spans="1:4" x14ac:dyDescent="0.2">
      <c r="A183" s="3">
        <v>39994</v>
      </c>
      <c r="B183" s="1">
        <v>6</v>
      </c>
      <c r="C183" s="22">
        <v>0.2858</v>
      </c>
      <c r="D183" s="36">
        <f t="shared" si="8"/>
        <v>1.7147999999999999</v>
      </c>
    </row>
    <row r="184" spans="1:4" x14ac:dyDescent="0.2">
      <c r="A184" s="3">
        <v>39995</v>
      </c>
      <c r="B184" s="1">
        <v>1</v>
      </c>
      <c r="C184" s="22">
        <v>1.0227999999999999</v>
      </c>
      <c r="D184" s="36">
        <f t="shared" si="8"/>
        <v>1.0227999999999999</v>
      </c>
    </row>
    <row r="185" spans="1:4" x14ac:dyDescent="0.2">
      <c r="A185" s="3">
        <v>39996</v>
      </c>
      <c r="B185" s="1">
        <v>2</v>
      </c>
      <c r="C185" s="22">
        <v>1.0387</v>
      </c>
      <c r="D185" s="36">
        <f t="shared" si="8"/>
        <v>2.0773999999999999</v>
      </c>
    </row>
    <row r="186" spans="1:4" x14ac:dyDescent="0.2">
      <c r="A186" s="3">
        <v>39997</v>
      </c>
      <c r="B186" s="1">
        <v>1</v>
      </c>
      <c r="C186" s="22">
        <v>4.3887999999999998</v>
      </c>
      <c r="D186" s="36">
        <f t="shared" si="8"/>
        <v>4.3887999999999998</v>
      </c>
    </row>
    <row r="187" spans="1:4" x14ac:dyDescent="0.2">
      <c r="A187" s="3">
        <v>39998</v>
      </c>
      <c r="B187" s="1">
        <v>1</v>
      </c>
      <c r="C187" s="22">
        <v>0.74790000000000001</v>
      </c>
      <c r="D187" s="36">
        <f t="shared" si="8"/>
        <v>0.74790000000000001</v>
      </c>
    </row>
    <row r="188" spans="1:4" x14ac:dyDescent="0.2">
      <c r="A188" s="3">
        <v>39999</v>
      </c>
      <c r="B188" s="1">
        <v>8</v>
      </c>
      <c r="C188" s="22">
        <v>0.61570000000000003</v>
      </c>
      <c r="D188" s="36">
        <f t="shared" si="8"/>
        <v>4.9256000000000002</v>
      </c>
    </row>
    <row r="189" spans="1:4" x14ac:dyDescent="0.2">
      <c r="A189" s="3">
        <v>40000</v>
      </c>
      <c r="B189" s="1">
        <v>4</v>
      </c>
      <c r="C189" s="22">
        <v>0.62139999999999995</v>
      </c>
      <c r="D189" s="36">
        <f t="shared" si="8"/>
        <v>2.4855999999999998</v>
      </c>
    </row>
    <row r="190" spans="1:4" x14ac:dyDescent="0.2">
      <c r="A190" s="3">
        <v>40001</v>
      </c>
      <c r="B190" s="1">
        <v>1</v>
      </c>
      <c r="C190" s="22">
        <v>1.7885</v>
      </c>
      <c r="D190" s="36">
        <f t="shared" si="8"/>
        <v>1.7885</v>
      </c>
    </row>
    <row r="191" spans="1:4" x14ac:dyDescent="0.2">
      <c r="A191" s="3">
        <v>40002</v>
      </c>
      <c r="B191" s="1">
        <v>4</v>
      </c>
      <c r="C191" s="22">
        <v>0.34089999999999998</v>
      </c>
      <c r="D191" s="36">
        <f t="shared" si="8"/>
        <v>1.3635999999999999</v>
      </c>
    </row>
    <row r="192" spans="1:4" x14ac:dyDescent="0.2">
      <c r="A192" s="3">
        <v>40003</v>
      </c>
      <c r="B192" s="1">
        <v>3</v>
      </c>
      <c r="C192" s="22">
        <v>9.3727999999999998</v>
      </c>
      <c r="D192" s="36">
        <f t="shared" si="8"/>
        <v>28.118400000000001</v>
      </c>
    </row>
    <row r="193" spans="1:4" x14ac:dyDescent="0.2">
      <c r="A193" s="3">
        <v>40004</v>
      </c>
      <c r="B193" s="1">
        <v>7</v>
      </c>
      <c r="C193" s="22">
        <v>0.72209999999999996</v>
      </c>
      <c r="D193" s="36">
        <f t="shared" si="8"/>
        <v>5.0546999999999995</v>
      </c>
    </row>
    <row r="194" spans="1:4" x14ac:dyDescent="0.2">
      <c r="A194" s="3">
        <v>40005</v>
      </c>
      <c r="B194" s="1">
        <v>5</v>
      </c>
      <c r="C194" s="22">
        <v>2.2048000000000001</v>
      </c>
      <c r="D194" s="36">
        <f t="shared" si="8"/>
        <v>11.024000000000001</v>
      </c>
    </row>
    <row r="195" spans="1:4" x14ac:dyDescent="0.2">
      <c r="A195" s="3">
        <v>40006</v>
      </c>
      <c r="B195" s="1">
        <v>3</v>
      </c>
      <c r="C195" s="22">
        <v>7.4553000000000003</v>
      </c>
      <c r="D195" s="36">
        <f t="shared" si="8"/>
        <v>22.3659</v>
      </c>
    </row>
    <row r="196" spans="1:4" x14ac:dyDescent="0.2">
      <c r="A196" s="3">
        <v>40007</v>
      </c>
      <c r="B196" s="1">
        <v>7</v>
      </c>
      <c r="C196" s="22">
        <v>0.93799999999999994</v>
      </c>
      <c r="D196" s="36">
        <f t="shared" ref="D196:D259" si="9">B196*C196</f>
        <v>6.5659999999999998</v>
      </c>
    </row>
    <row r="197" spans="1:4" x14ac:dyDescent="0.2">
      <c r="A197" s="3">
        <v>40008</v>
      </c>
      <c r="B197" s="1">
        <v>1</v>
      </c>
      <c r="C197" s="22">
        <v>2.8933</v>
      </c>
      <c r="D197" s="36">
        <f t="shared" si="9"/>
        <v>2.8933</v>
      </c>
    </row>
    <row r="198" spans="1:4" x14ac:dyDescent="0.2">
      <c r="A198" s="3">
        <v>40009</v>
      </c>
      <c r="B198" s="1">
        <v>1</v>
      </c>
      <c r="C198" s="22">
        <v>2.3279000000000001</v>
      </c>
      <c r="D198" s="36">
        <f t="shared" si="9"/>
        <v>2.3279000000000001</v>
      </c>
    </row>
    <row r="199" spans="1:4" x14ac:dyDescent="0.2">
      <c r="A199" s="3">
        <v>40010</v>
      </c>
      <c r="B199" s="1">
        <v>6</v>
      </c>
      <c r="C199" s="22">
        <v>1.8271999999999999</v>
      </c>
      <c r="D199" s="36">
        <f t="shared" si="9"/>
        <v>10.963200000000001</v>
      </c>
    </row>
    <row r="200" spans="1:4" x14ac:dyDescent="0.2">
      <c r="A200" s="3">
        <v>40011</v>
      </c>
      <c r="B200" s="1">
        <v>1</v>
      </c>
      <c r="C200" s="22">
        <v>0.99060000000000004</v>
      </c>
      <c r="D200" s="36">
        <f t="shared" si="9"/>
        <v>0.99060000000000004</v>
      </c>
    </row>
    <row r="201" spans="1:4" x14ac:dyDescent="0.2">
      <c r="A201" s="3">
        <v>40012</v>
      </c>
      <c r="B201" s="1">
        <v>14</v>
      </c>
      <c r="C201" s="22">
        <v>2.8104</v>
      </c>
      <c r="D201" s="36">
        <f t="shared" si="9"/>
        <v>39.345599999999997</v>
      </c>
    </row>
    <row r="202" spans="1:4" x14ac:dyDescent="0.2">
      <c r="A202" s="3">
        <v>40013</v>
      </c>
      <c r="B202" s="1">
        <v>2</v>
      </c>
      <c r="C202" s="22">
        <v>2.1718999999999999</v>
      </c>
      <c r="D202" s="36">
        <f t="shared" si="9"/>
        <v>4.3437999999999999</v>
      </c>
    </row>
    <row r="203" spans="1:4" x14ac:dyDescent="0.2">
      <c r="A203" s="3">
        <v>40014</v>
      </c>
      <c r="B203" s="1">
        <v>3</v>
      </c>
      <c r="C203" s="22">
        <v>0.13730000000000001</v>
      </c>
      <c r="D203" s="36">
        <f t="shared" si="9"/>
        <v>0.41190000000000004</v>
      </c>
    </row>
    <row r="204" spans="1:4" x14ac:dyDescent="0.2">
      <c r="A204" s="3">
        <v>40015</v>
      </c>
      <c r="B204" s="1">
        <v>4</v>
      </c>
      <c r="C204" s="22">
        <v>0.71609999999999996</v>
      </c>
      <c r="D204" s="36">
        <f t="shared" si="9"/>
        <v>2.8643999999999998</v>
      </c>
    </row>
    <row r="205" spans="1:4" x14ac:dyDescent="0.2">
      <c r="A205" s="3">
        <v>40016</v>
      </c>
      <c r="B205" s="1">
        <v>7</v>
      </c>
      <c r="C205" s="22">
        <v>11.2667</v>
      </c>
      <c r="D205" s="36">
        <f t="shared" si="9"/>
        <v>78.866900000000001</v>
      </c>
    </row>
    <row r="206" spans="1:4" x14ac:dyDescent="0.2">
      <c r="A206" s="3">
        <v>40017</v>
      </c>
      <c r="B206" s="1">
        <v>3</v>
      </c>
      <c r="C206" s="22">
        <v>2.0840000000000001</v>
      </c>
      <c r="D206" s="36">
        <f t="shared" si="9"/>
        <v>6.2520000000000007</v>
      </c>
    </row>
    <row r="207" spans="1:4" x14ac:dyDescent="0.2">
      <c r="A207" s="3">
        <v>40018</v>
      </c>
      <c r="B207" s="1">
        <v>6</v>
      </c>
      <c r="C207" s="22">
        <v>0.53590000000000004</v>
      </c>
      <c r="D207" s="36">
        <f t="shared" si="9"/>
        <v>3.2154000000000003</v>
      </c>
    </row>
    <row r="208" spans="1:4" x14ac:dyDescent="0.2">
      <c r="A208" s="3">
        <v>40019</v>
      </c>
      <c r="B208" s="1">
        <v>2</v>
      </c>
      <c r="C208" s="22">
        <v>0.65410000000000001</v>
      </c>
      <c r="D208" s="36">
        <f t="shared" si="9"/>
        <v>1.3082</v>
      </c>
    </row>
    <row r="209" spans="1:4" x14ac:dyDescent="0.2">
      <c r="A209" s="3">
        <v>40020</v>
      </c>
      <c r="B209" s="1">
        <v>1</v>
      </c>
      <c r="C209" s="22">
        <v>2.6840999999999999</v>
      </c>
      <c r="D209" s="36">
        <f t="shared" si="9"/>
        <v>2.6840999999999999</v>
      </c>
    </row>
    <row r="210" spans="1:4" x14ac:dyDescent="0.2">
      <c r="A210" s="3">
        <v>40021</v>
      </c>
      <c r="B210" s="1">
        <v>6</v>
      </c>
      <c r="C210" s="22">
        <v>0.93379999999999996</v>
      </c>
      <c r="D210" s="36">
        <f t="shared" si="9"/>
        <v>5.6028000000000002</v>
      </c>
    </row>
    <row r="211" spans="1:4" x14ac:dyDescent="0.2">
      <c r="A211" s="3">
        <v>40022</v>
      </c>
      <c r="B211" s="1">
        <v>9</v>
      </c>
      <c r="C211" s="22">
        <v>2.0390000000000001</v>
      </c>
      <c r="D211" s="36">
        <f t="shared" si="9"/>
        <v>18.351000000000003</v>
      </c>
    </row>
    <row r="212" spans="1:4" x14ac:dyDescent="0.2">
      <c r="A212" s="3">
        <v>40023</v>
      </c>
      <c r="B212" s="1">
        <v>1</v>
      </c>
      <c r="C212" s="22">
        <v>2.0002</v>
      </c>
      <c r="D212" s="36">
        <f t="shared" si="9"/>
        <v>2.0002</v>
      </c>
    </row>
    <row r="213" spans="1:4" x14ac:dyDescent="0.2">
      <c r="A213" s="3">
        <v>40024</v>
      </c>
      <c r="B213" s="1">
        <v>6</v>
      </c>
      <c r="C213" s="22">
        <v>1.3909</v>
      </c>
      <c r="D213" s="36">
        <f t="shared" si="9"/>
        <v>8.3453999999999997</v>
      </c>
    </row>
    <row r="214" spans="1:4" x14ac:dyDescent="0.2">
      <c r="A214" s="3">
        <v>40025</v>
      </c>
      <c r="B214" s="1">
        <v>6</v>
      </c>
      <c r="C214" s="22">
        <v>0.54179999999999995</v>
      </c>
      <c r="D214" s="36">
        <f t="shared" si="9"/>
        <v>3.2507999999999999</v>
      </c>
    </row>
    <row r="215" spans="1:4" x14ac:dyDescent="0.2">
      <c r="A215" s="3">
        <v>40026</v>
      </c>
      <c r="B215" s="1">
        <v>4</v>
      </c>
      <c r="C215" s="22">
        <v>1.135</v>
      </c>
      <c r="D215" s="36">
        <f t="shared" si="9"/>
        <v>4.54</v>
      </c>
    </row>
    <row r="216" spans="1:4" x14ac:dyDescent="0.2">
      <c r="A216" s="3">
        <v>40027</v>
      </c>
      <c r="B216" s="1">
        <v>2</v>
      </c>
      <c r="C216" s="22">
        <v>3.8975</v>
      </c>
      <c r="D216" s="36">
        <f t="shared" si="9"/>
        <v>7.7949999999999999</v>
      </c>
    </row>
    <row r="217" spans="1:4" x14ac:dyDescent="0.2">
      <c r="A217" s="3">
        <v>40028</v>
      </c>
      <c r="B217" s="1">
        <v>3</v>
      </c>
      <c r="C217" s="22">
        <v>2.4068000000000001</v>
      </c>
      <c r="D217" s="36">
        <f t="shared" si="9"/>
        <v>7.2203999999999997</v>
      </c>
    </row>
    <row r="218" spans="1:4" x14ac:dyDescent="0.2">
      <c r="A218" s="3">
        <v>40029</v>
      </c>
      <c r="B218" s="1">
        <v>1</v>
      </c>
      <c r="C218" s="22">
        <v>1.5229999999999999</v>
      </c>
      <c r="D218" s="36">
        <f t="shared" si="9"/>
        <v>1.5229999999999999</v>
      </c>
    </row>
    <row r="219" spans="1:4" x14ac:dyDescent="0.2">
      <c r="A219" s="3">
        <v>40030</v>
      </c>
      <c r="B219" s="1">
        <v>11</v>
      </c>
      <c r="C219" s="22">
        <v>6.2512999999999996</v>
      </c>
      <c r="D219" s="36">
        <f t="shared" si="9"/>
        <v>68.764299999999992</v>
      </c>
    </row>
    <row r="220" spans="1:4" x14ac:dyDescent="0.2">
      <c r="A220" s="3">
        <v>40031</v>
      </c>
      <c r="B220" s="1">
        <v>3</v>
      </c>
      <c r="C220" s="22">
        <v>8.7091999999999992</v>
      </c>
      <c r="D220" s="36">
        <f t="shared" si="9"/>
        <v>26.127599999999997</v>
      </c>
    </row>
    <row r="221" spans="1:4" x14ac:dyDescent="0.2">
      <c r="A221" s="3">
        <v>40032</v>
      </c>
      <c r="B221" s="1">
        <v>9</v>
      </c>
      <c r="C221" s="22">
        <v>9.1222999999999992</v>
      </c>
      <c r="D221" s="36">
        <f t="shared" si="9"/>
        <v>82.100699999999989</v>
      </c>
    </row>
    <row r="222" spans="1:4" x14ac:dyDescent="0.2">
      <c r="A222" s="3">
        <v>40033</v>
      </c>
      <c r="B222" s="1">
        <v>2</v>
      </c>
      <c r="C222" s="22">
        <v>0.20599999999999999</v>
      </c>
      <c r="D222" s="36">
        <f t="shared" si="9"/>
        <v>0.41199999999999998</v>
      </c>
    </row>
    <row r="223" spans="1:4" x14ac:dyDescent="0.2">
      <c r="A223" s="3">
        <v>40034</v>
      </c>
      <c r="B223" s="1">
        <v>3</v>
      </c>
      <c r="C223" s="22">
        <v>4.6452999999999998</v>
      </c>
      <c r="D223" s="36">
        <f t="shared" si="9"/>
        <v>13.9359</v>
      </c>
    </row>
    <row r="224" spans="1:4" x14ac:dyDescent="0.2">
      <c r="A224" s="3">
        <v>40035</v>
      </c>
      <c r="B224" s="1">
        <v>6</v>
      </c>
      <c r="C224" s="22">
        <v>2.8662000000000001</v>
      </c>
      <c r="D224" s="36">
        <f t="shared" si="9"/>
        <v>17.197200000000002</v>
      </c>
    </row>
    <row r="225" spans="1:4" x14ac:dyDescent="0.2">
      <c r="A225" s="3">
        <v>40036</v>
      </c>
      <c r="B225" s="1">
        <v>1</v>
      </c>
      <c r="C225" s="22">
        <v>0.56389999999999996</v>
      </c>
      <c r="D225" s="36">
        <f t="shared" si="9"/>
        <v>0.56389999999999996</v>
      </c>
    </row>
    <row r="226" spans="1:4" x14ac:dyDescent="0.2">
      <c r="A226" s="3">
        <v>40037</v>
      </c>
      <c r="B226" s="1">
        <v>4</v>
      </c>
      <c r="C226" s="22">
        <v>0.39269999999999999</v>
      </c>
      <c r="D226" s="36">
        <f t="shared" si="9"/>
        <v>1.5708</v>
      </c>
    </row>
    <row r="227" spans="1:4" x14ac:dyDescent="0.2">
      <c r="A227" s="3">
        <v>40038</v>
      </c>
      <c r="B227" s="1">
        <v>5</v>
      </c>
      <c r="C227" s="22">
        <v>0.56559999999999999</v>
      </c>
      <c r="D227" s="36">
        <f t="shared" si="9"/>
        <v>2.8279999999999998</v>
      </c>
    </row>
    <row r="228" spans="1:4" x14ac:dyDescent="0.2">
      <c r="A228" s="3">
        <v>40039</v>
      </c>
      <c r="B228" s="1">
        <v>6</v>
      </c>
      <c r="C228" s="22">
        <v>1.1761999999999999</v>
      </c>
      <c r="D228" s="36">
        <f t="shared" si="9"/>
        <v>7.0571999999999999</v>
      </c>
    </row>
    <row r="229" spans="1:4" x14ac:dyDescent="0.2">
      <c r="A229" s="3">
        <v>40040</v>
      </c>
      <c r="B229" s="1">
        <v>2</v>
      </c>
      <c r="C229" s="22">
        <v>1.8713</v>
      </c>
      <c r="D229" s="36">
        <f t="shared" si="9"/>
        <v>3.7425999999999999</v>
      </c>
    </row>
    <row r="230" spans="1:4" x14ac:dyDescent="0.2">
      <c r="A230" s="3">
        <v>40041</v>
      </c>
      <c r="B230" s="1">
        <v>1</v>
      </c>
      <c r="C230" s="22">
        <v>2.7776999999999998</v>
      </c>
      <c r="D230" s="36">
        <f t="shared" si="9"/>
        <v>2.7776999999999998</v>
      </c>
    </row>
    <row r="231" spans="1:4" x14ac:dyDescent="0.2">
      <c r="A231" s="3">
        <v>40042</v>
      </c>
      <c r="B231" s="1">
        <v>7</v>
      </c>
      <c r="C231" s="22">
        <v>7.2316000000000003</v>
      </c>
      <c r="D231" s="36">
        <f t="shared" si="9"/>
        <v>50.621200000000002</v>
      </c>
    </row>
    <row r="232" spans="1:4" x14ac:dyDescent="0.2">
      <c r="A232" s="3">
        <v>40043</v>
      </c>
      <c r="B232" s="1">
        <v>1</v>
      </c>
      <c r="C232" s="22">
        <v>0.48630000000000001</v>
      </c>
      <c r="D232" s="36">
        <f t="shared" si="9"/>
        <v>0.48630000000000001</v>
      </c>
    </row>
    <row r="233" spans="1:4" x14ac:dyDescent="0.2">
      <c r="A233" s="3">
        <v>40044</v>
      </c>
      <c r="B233" s="1">
        <v>4</v>
      </c>
      <c r="C233" s="22">
        <v>2.7736000000000001</v>
      </c>
      <c r="D233" s="36">
        <f t="shared" si="9"/>
        <v>11.0944</v>
      </c>
    </row>
    <row r="234" spans="1:4" x14ac:dyDescent="0.2">
      <c r="A234" s="3">
        <v>40045</v>
      </c>
      <c r="B234" s="1">
        <v>2</v>
      </c>
      <c r="C234" s="22">
        <v>5.7942</v>
      </c>
      <c r="D234" s="36">
        <f t="shared" si="9"/>
        <v>11.5884</v>
      </c>
    </row>
    <row r="235" spans="1:4" x14ac:dyDescent="0.2">
      <c r="A235" s="3">
        <v>40046</v>
      </c>
      <c r="B235" s="1">
        <v>3</v>
      </c>
      <c r="C235" s="22">
        <v>1.7501</v>
      </c>
      <c r="D235" s="36">
        <f t="shared" si="9"/>
        <v>5.2503000000000002</v>
      </c>
    </row>
    <row r="236" spans="1:4" x14ac:dyDescent="0.2">
      <c r="A236" s="3">
        <v>40047</v>
      </c>
      <c r="B236" s="1">
        <v>3</v>
      </c>
      <c r="C236" s="22">
        <v>0.66010000000000002</v>
      </c>
      <c r="D236" s="36">
        <f t="shared" si="9"/>
        <v>1.9803000000000002</v>
      </c>
    </row>
    <row r="237" spans="1:4" x14ac:dyDescent="0.2">
      <c r="A237" s="3">
        <v>40048</v>
      </c>
      <c r="B237" s="1">
        <v>1</v>
      </c>
      <c r="C237" s="22">
        <v>1.9823</v>
      </c>
      <c r="D237" s="36">
        <f t="shared" si="9"/>
        <v>1.9823</v>
      </c>
    </row>
    <row r="238" spans="1:4" x14ac:dyDescent="0.2">
      <c r="A238" s="3">
        <v>40049</v>
      </c>
      <c r="B238" s="1">
        <v>10</v>
      </c>
      <c r="C238" s="22">
        <v>2.2858000000000001</v>
      </c>
      <c r="D238" s="36">
        <f t="shared" si="9"/>
        <v>22.858000000000001</v>
      </c>
    </row>
    <row r="239" spans="1:4" x14ac:dyDescent="0.2">
      <c r="A239" s="3">
        <v>40050</v>
      </c>
      <c r="B239" s="1">
        <v>4</v>
      </c>
      <c r="C239" s="22">
        <v>0.76380000000000003</v>
      </c>
      <c r="D239" s="36">
        <f t="shared" si="9"/>
        <v>3.0552000000000001</v>
      </c>
    </row>
    <row r="240" spans="1:4" x14ac:dyDescent="0.2">
      <c r="A240" s="3">
        <v>40051</v>
      </c>
      <c r="B240" s="1">
        <v>3</v>
      </c>
      <c r="C240" s="22">
        <v>0.98089999999999999</v>
      </c>
      <c r="D240" s="36">
        <f t="shared" si="9"/>
        <v>2.9426999999999999</v>
      </c>
    </row>
    <row r="241" spans="1:4" x14ac:dyDescent="0.2">
      <c r="A241" s="3">
        <v>40052</v>
      </c>
      <c r="B241" s="1">
        <v>6</v>
      </c>
      <c r="C241" s="22">
        <v>5.4230999999999998</v>
      </c>
      <c r="D241" s="36">
        <f t="shared" si="9"/>
        <v>32.538600000000002</v>
      </c>
    </row>
    <row r="242" spans="1:4" x14ac:dyDescent="0.2">
      <c r="A242" s="3">
        <v>40053</v>
      </c>
      <c r="B242" s="1">
        <v>1</v>
      </c>
      <c r="C242" s="22">
        <v>0.73750000000000004</v>
      </c>
      <c r="D242" s="36">
        <f t="shared" si="9"/>
        <v>0.73750000000000004</v>
      </c>
    </row>
    <row r="243" spans="1:4" x14ac:dyDescent="0.2">
      <c r="A243" s="3">
        <v>40054</v>
      </c>
      <c r="B243" s="1">
        <v>5</v>
      </c>
      <c r="C243" s="22">
        <v>0.75939999999999996</v>
      </c>
      <c r="D243" s="36">
        <f t="shared" si="9"/>
        <v>3.7969999999999997</v>
      </c>
    </row>
    <row r="244" spans="1:4" x14ac:dyDescent="0.2">
      <c r="A244" s="3">
        <v>40055</v>
      </c>
      <c r="B244" s="1">
        <v>3</v>
      </c>
      <c r="C244" s="22">
        <v>0.51980000000000004</v>
      </c>
      <c r="D244" s="36">
        <f t="shared" si="9"/>
        <v>1.5594000000000001</v>
      </c>
    </row>
    <row r="245" spans="1:4" x14ac:dyDescent="0.2">
      <c r="A245" s="3">
        <v>40056</v>
      </c>
      <c r="B245" s="1">
        <v>1</v>
      </c>
      <c r="C245" s="22">
        <v>0.52780000000000005</v>
      </c>
      <c r="D245" s="36">
        <f t="shared" si="9"/>
        <v>0.52780000000000005</v>
      </c>
    </row>
    <row r="246" spans="1:4" x14ac:dyDescent="0.2">
      <c r="A246" s="3">
        <v>40057</v>
      </c>
      <c r="B246" s="1">
        <v>2</v>
      </c>
      <c r="C246" s="22">
        <v>1.8935999999999999</v>
      </c>
      <c r="D246" s="36">
        <f t="shared" si="9"/>
        <v>3.7871999999999999</v>
      </c>
    </row>
    <row r="247" spans="1:4" x14ac:dyDescent="0.2">
      <c r="A247" s="3">
        <v>40058</v>
      </c>
      <c r="B247" s="1">
        <v>4</v>
      </c>
      <c r="C247" s="22">
        <v>1.0666</v>
      </c>
      <c r="D247" s="36">
        <f t="shared" si="9"/>
        <v>4.2664</v>
      </c>
    </row>
    <row r="248" spans="1:4" x14ac:dyDescent="0.2">
      <c r="A248" s="3">
        <v>40059</v>
      </c>
      <c r="B248" s="1">
        <v>8</v>
      </c>
      <c r="C248" s="22">
        <v>1.5212000000000001</v>
      </c>
      <c r="D248" s="36">
        <f t="shared" si="9"/>
        <v>12.169600000000001</v>
      </c>
    </row>
    <row r="249" spans="1:4" x14ac:dyDescent="0.2">
      <c r="A249" s="3">
        <v>40060</v>
      </c>
      <c r="B249" s="1">
        <v>9</v>
      </c>
      <c r="C249" s="22">
        <v>4.5547000000000004</v>
      </c>
      <c r="D249" s="36">
        <f t="shared" si="9"/>
        <v>40.9923</v>
      </c>
    </row>
    <row r="250" spans="1:4" x14ac:dyDescent="0.2">
      <c r="A250" s="3">
        <v>40061</v>
      </c>
      <c r="B250" s="1">
        <v>3</v>
      </c>
      <c r="C250" s="22">
        <v>8.8345000000000002</v>
      </c>
      <c r="D250" s="36">
        <f t="shared" si="9"/>
        <v>26.503500000000003</v>
      </c>
    </row>
    <row r="251" spans="1:4" x14ac:dyDescent="0.2">
      <c r="A251" s="3">
        <v>40062</v>
      </c>
      <c r="B251" s="1">
        <v>5</v>
      </c>
      <c r="C251" s="22">
        <v>3.7633000000000001</v>
      </c>
      <c r="D251" s="36">
        <f t="shared" si="9"/>
        <v>18.816500000000001</v>
      </c>
    </row>
    <row r="252" spans="1:4" x14ac:dyDescent="0.2">
      <c r="A252" s="3">
        <v>40063</v>
      </c>
      <c r="B252" s="1">
        <v>14</v>
      </c>
      <c r="C252" s="22">
        <v>2.3412999999999999</v>
      </c>
      <c r="D252" s="36">
        <f t="shared" si="9"/>
        <v>32.778199999999998</v>
      </c>
    </row>
    <row r="253" spans="1:4" x14ac:dyDescent="0.2">
      <c r="A253" s="3">
        <v>40064</v>
      </c>
      <c r="B253" s="1">
        <v>9</v>
      </c>
      <c r="C253" s="22">
        <v>7.2126999999999999</v>
      </c>
      <c r="D253" s="36">
        <f t="shared" si="9"/>
        <v>64.914299999999997</v>
      </c>
    </row>
    <row r="254" spans="1:4" x14ac:dyDescent="0.2">
      <c r="A254" s="3">
        <v>40065</v>
      </c>
      <c r="B254" s="1">
        <v>5</v>
      </c>
      <c r="C254" s="22">
        <v>2.4929000000000001</v>
      </c>
      <c r="D254" s="36">
        <f t="shared" si="9"/>
        <v>12.464500000000001</v>
      </c>
    </row>
    <row r="255" spans="1:4" x14ac:dyDescent="0.2">
      <c r="A255" s="3">
        <v>40066</v>
      </c>
      <c r="B255" s="1">
        <v>10</v>
      </c>
      <c r="C255" s="22">
        <v>11.1083</v>
      </c>
      <c r="D255" s="36">
        <f t="shared" si="9"/>
        <v>111.083</v>
      </c>
    </row>
    <row r="256" spans="1:4" x14ac:dyDescent="0.2">
      <c r="A256" s="3">
        <v>40067</v>
      </c>
      <c r="B256" s="1">
        <v>2</v>
      </c>
      <c r="C256" s="22">
        <v>1.1929000000000001</v>
      </c>
      <c r="D256" s="36">
        <f t="shared" si="9"/>
        <v>2.3858000000000001</v>
      </c>
    </row>
    <row r="257" spans="1:4" x14ac:dyDescent="0.2">
      <c r="A257" s="3">
        <v>40068</v>
      </c>
      <c r="B257" s="1">
        <v>1</v>
      </c>
      <c r="C257" s="22">
        <v>2.1356000000000002</v>
      </c>
      <c r="D257" s="36">
        <f t="shared" si="9"/>
        <v>2.1356000000000002</v>
      </c>
    </row>
    <row r="258" spans="1:4" x14ac:dyDescent="0.2">
      <c r="A258" s="3">
        <v>40069</v>
      </c>
      <c r="B258" s="1">
        <v>6</v>
      </c>
      <c r="C258" s="22">
        <v>2.8319999999999999</v>
      </c>
      <c r="D258" s="36">
        <f t="shared" si="9"/>
        <v>16.991999999999997</v>
      </c>
    </row>
    <row r="259" spans="1:4" x14ac:dyDescent="0.2">
      <c r="A259" s="3">
        <v>40070</v>
      </c>
      <c r="B259" s="1">
        <v>1</v>
      </c>
      <c r="C259" s="22">
        <v>1.0555000000000001</v>
      </c>
      <c r="D259" s="36">
        <f t="shared" si="9"/>
        <v>1.0555000000000001</v>
      </c>
    </row>
    <row r="260" spans="1:4" x14ac:dyDescent="0.2">
      <c r="A260" s="3">
        <v>40071</v>
      </c>
      <c r="B260" s="1">
        <v>5</v>
      </c>
      <c r="C260" s="22">
        <v>0.65390000000000004</v>
      </c>
      <c r="D260" s="36">
        <f t="shared" ref="D260:D323" si="10">B260*C260</f>
        <v>3.2695000000000003</v>
      </c>
    </row>
    <row r="261" spans="1:4" x14ac:dyDescent="0.2">
      <c r="A261" s="3">
        <v>40072</v>
      </c>
      <c r="B261" s="1">
        <v>10</v>
      </c>
      <c r="C261" s="22">
        <v>3.5493000000000001</v>
      </c>
      <c r="D261" s="36">
        <f t="shared" si="10"/>
        <v>35.493000000000002</v>
      </c>
    </row>
    <row r="262" spans="1:4" x14ac:dyDescent="0.2">
      <c r="A262" s="3">
        <v>40073</v>
      </c>
      <c r="B262" s="1">
        <v>1</v>
      </c>
      <c r="C262" s="22">
        <v>1.9504999999999999</v>
      </c>
      <c r="D262" s="36">
        <f t="shared" si="10"/>
        <v>1.9504999999999999</v>
      </c>
    </row>
    <row r="263" spans="1:4" x14ac:dyDescent="0.2">
      <c r="A263" s="3">
        <v>40074</v>
      </c>
      <c r="B263" s="1">
        <v>4</v>
      </c>
      <c r="C263" s="22">
        <v>0.95389999999999997</v>
      </c>
      <c r="D263" s="36">
        <f t="shared" si="10"/>
        <v>3.8155999999999999</v>
      </c>
    </row>
    <row r="264" spans="1:4" x14ac:dyDescent="0.2">
      <c r="A264" s="3">
        <v>40075</v>
      </c>
      <c r="B264" s="1">
        <v>2</v>
      </c>
      <c r="C264" s="22">
        <v>0.59989999999999999</v>
      </c>
      <c r="D264" s="36">
        <f t="shared" si="10"/>
        <v>1.1998</v>
      </c>
    </row>
    <row r="265" spans="1:4" x14ac:dyDescent="0.2">
      <c r="A265" s="3">
        <v>40076</v>
      </c>
      <c r="B265" s="1">
        <v>9</v>
      </c>
      <c r="C265" s="22">
        <v>1.6504000000000001</v>
      </c>
      <c r="D265" s="36">
        <f t="shared" si="10"/>
        <v>14.8536</v>
      </c>
    </row>
    <row r="266" spans="1:4" x14ac:dyDescent="0.2">
      <c r="A266" s="3">
        <v>40077</v>
      </c>
      <c r="B266" s="1">
        <v>3</v>
      </c>
      <c r="C266" s="22">
        <v>0.23860000000000001</v>
      </c>
      <c r="D266" s="36">
        <f t="shared" si="10"/>
        <v>0.71579999999999999</v>
      </c>
    </row>
    <row r="267" spans="1:4" x14ac:dyDescent="0.2">
      <c r="A267" s="3">
        <v>40078</v>
      </c>
      <c r="B267" s="1">
        <v>4</v>
      </c>
      <c r="C267" s="22">
        <v>1.262</v>
      </c>
      <c r="D267" s="36">
        <f t="shared" si="10"/>
        <v>5.048</v>
      </c>
    </row>
    <row r="268" spans="1:4" x14ac:dyDescent="0.2">
      <c r="A268" s="3">
        <v>40079</v>
      </c>
      <c r="B268" s="1">
        <v>4</v>
      </c>
      <c r="C268" s="22">
        <v>0.2717</v>
      </c>
      <c r="D268" s="36">
        <f t="shared" si="10"/>
        <v>1.0868</v>
      </c>
    </row>
    <row r="269" spans="1:4" x14ac:dyDescent="0.2">
      <c r="A269" s="3">
        <v>40080</v>
      </c>
      <c r="B269" s="1">
        <v>3</v>
      </c>
      <c r="C269" s="22">
        <v>0.15790000000000001</v>
      </c>
      <c r="D269" s="36">
        <f t="shared" si="10"/>
        <v>0.47370000000000001</v>
      </c>
    </row>
    <row r="270" spans="1:4" x14ac:dyDescent="0.2">
      <c r="A270" s="3">
        <v>40081</v>
      </c>
      <c r="B270" s="1">
        <v>8</v>
      </c>
      <c r="C270" s="22">
        <v>3.6593</v>
      </c>
      <c r="D270" s="36">
        <f t="shared" si="10"/>
        <v>29.2744</v>
      </c>
    </row>
    <row r="271" spans="1:4" x14ac:dyDescent="0.2">
      <c r="A271" s="3">
        <v>40082</v>
      </c>
      <c r="B271" s="1">
        <v>6</v>
      </c>
      <c r="C271" s="22">
        <v>1.7536</v>
      </c>
      <c r="D271" s="36">
        <f t="shared" si="10"/>
        <v>10.521599999999999</v>
      </c>
    </row>
    <row r="272" spans="1:4" x14ac:dyDescent="0.2">
      <c r="A272" s="3">
        <v>40083</v>
      </c>
      <c r="B272" s="1">
        <v>1</v>
      </c>
      <c r="C272" s="22">
        <v>0.3695</v>
      </c>
      <c r="D272" s="36">
        <f t="shared" si="10"/>
        <v>0.3695</v>
      </c>
    </row>
    <row r="273" spans="1:4" x14ac:dyDescent="0.2">
      <c r="A273" s="3">
        <v>40084</v>
      </c>
      <c r="B273" s="1">
        <v>8</v>
      </c>
      <c r="C273" s="22">
        <v>2.2155</v>
      </c>
      <c r="D273" s="36">
        <f t="shared" si="10"/>
        <v>17.724</v>
      </c>
    </row>
    <row r="274" spans="1:4" x14ac:dyDescent="0.2">
      <c r="A274" s="3">
        <v>40085</v>
      </c>
      <c r="B274" s="1">
        <v>1</v>
      </c>
      <c r="C274" s="22">
        <v>1.099</v>
      </c>
      <c r="D274" s="36">
        <f t="shared" si="10"/>
        <v>1.099</v>
      </c>
    </row>
    <row r="275" spans="1:4" x14ac:dyDescent="0.2">
      <c r="A275" s="3">
        <v>40086</v>
      </c>
      <c r="B275" s="1">
        <v>6</v>
      </c>
      <c r="C275" s="22">
        <v>1.3672</v>
      </c>
      <c r="D275" s="36">
        <f t="shared" si="10"/>
        <v>8.2031999999999989</v>
      </c>
    </row>
    <row r="276" spans="1:4" x14ac:dyDescent="0.2">
      <c r="A276" s="3">
        <v>40087</v>
      </c>
      <c r="B276" s="1">
        <v>5</v>
      </c>
      <c r="C276" s="22">
        <v>2.7294999999999998</v>
      </c>
      <c r="D276" s="36">
        <f t="shared" si="10"/>
        <v>13.647499999999999</v>
      </c>
    </row>
    <row r="277" spans="1:4" x14ac:dyDescent="0.2">
      <c r="A277" s="3">
        <v>40088</v>
      </c>
      <c r="B277" s="1">
        <v>3</v>
      </c>
      <c r="C277" s="22">
        <v>0.55200000000000005</v>
      </c>
      <c r="D277" s="36">
        <f t="shared" si="10"/>
        <v>1.6560000000000001</v>
      </c>
    </row>
    <row r="278" spans="1:4" x14ac:dyDescent="0.2">
      <c r="A278" s="3">
        <v>40089</v>
      </c>
      <c r="B278" s="1">
        <v>1</v>
      </c>
      <c r="C278" s="22">
        <v>1.4525999999999999</v>
      </c>
      <c r="D278" s="36">
        <f t="shared" si="10"/>
        <v>1.4525999999999999</v>
      </c>
    </row>
    <row r="279" spans="1:4" x14ac:dyDescent="0.2">
      <c r="A279" s="3">
        <v>40090</v>
      </c>
      <c r="B279" s="1">
        <v>8</v>
      </c>
      <c r="C279" s="22">
        <v>1.6625000000000001</v>
      </c>
      <c r="D279" s="36">
        <f t="shared" si="10"/>
        <v>13.3</v>
      </c>
    </row>
    <row r="280" spans="1:4" x14ac:dyDescent="0.2">
      <c r="A280" s="3">
        <v>40091</v>
      </c>
      <c r="B280" s="1">
        <v>4</v>
      </c>
      <c r="C280" s="22">
        <v>0.52949999999999997</v>
      </c>
      <c r="D280" s="36">
        <f t="shared" si="10"/>
        <v>2.1179999999999999</v>
      </c>
    </row>
    <row r="281" spans="1:4" x14ac:dyDescent="0.2">
      <c r="A281" s="3">
        <v>40092</v>
      </c>
      <c r="B281" s="1">
        <v>4</v>
      </c>
      <c r="C281" s="22">
        <v>0.90249999999999997</v>
      </c>
      <c r="D281" s="36">
        <f t="shared" si="10"/>
        <v>3.61</v>
      </c>
    </row>
    <row r="282" spans="1:4" x14ac:dyDescent="0.2">
      <c r="A282" s="3">
        <v>40093</v>
      </c>
      <c r="B282" s="1">
        <v>3</v>
      </c>
      <c r="C282" s="22">
        <v>3.4979</v>
      </c>
      <c r="D282" s="36">
        <f t="shared" si="10"/>
        <v>10.4937</v>
      </c>
    </row>
    <row r="283" spans="1:4" x14ac:dyDescent="0.2">
      <c r="A283" s="3">
        <v>40094</v>
      </c>
      <c r="B283" s="1">
        <v>3</v>
      </c>
      <c r="C283" s="22">
        <v>1.0988</v>
      </c>
      <c r="D283" s="36">
        <f t="shared" si="10"/>
        <v>3.2964000000000002</v>
      </c>
    </row>
    <row r="284" spans="1:4" x14ac:dyDescent="0.2">
      <c r="A284" s="3">
        <v>40095</v>
      </c>
      <c r="B284" s="1">
        <v>4</v>
      </c>
      <c r="C284" s="22">
        <v>1.0349999999999999</v>
      </c>
      <c r="D284" s="36">
        <f t="shared" si="10"/>
        <v>4.1399999999999997</v>
      </c>
    </row>
    <row r="285" spans="1:4" x14ac:dyDescent="0.2">
      <c r="A285" s="3">
        <v>40096</v>
      </c>
      <c r="B285" s="1">
        <v>6</v>
      </c>
      <c r="C285" s="22">
        <v>3.6743999999999999</v>
      </c>
      <c r="D285" s="36">
        <f t="shared" si="10"/>
        <v>22.046399999999998</v>
      </c>
    </row>
    <row r="286" spans="1:4" x14ac:dyDescent="0.2">
      <c r="A286" s="3">
        <v>40097</v>
      </c>
      <c r="B286" s="1">
        <v>4</v>
      </c>
      <c r="C286" s="22">
        <v>1.4825999999999999</v>
      </c>
      <c r="D286" s="36">
        <f t="shared" si="10"/>
        <v>5.9303999999999997</v>
      </c>
    </row>
    <row r="287" spans="1:4" x14ac:dyDescent="0.2">
      <c r="A287" s="3">
        <v>40098</v>
      </c>
      <c r="B287" s="1">
        <v>10</v>
      </c>
      <c r="C287" s="22">
        <v>0.54949999999999999</v>
      </c>
      <c r="D287" s="36">
        <f t="shared" si="10"/>
        <v>5.4950000000000001</v>
      </c>
    </row>
    <row r="288" spans="1:4" x14ac:dyDescent="0.2">
      <c r="A288" s="3">
        <v>40099</v>
      </c>
      <c r="B288" s="1">
        <v>1</v>
      </c>
      <c r="C288" s="22">
        <v>1.4205000000000001</v>
      </c>
      <c r="D288" s="36">
        <f t="shared" si="10"/>
        <v>1.4205000000000001</v>
      </c>
    </row>
    <row r="289" spans="1:4" x14ac:dyDescent="0.2">
      <c r="A289" s="3">
        <v>40100</v>
      </c>
      <c r="B289" s="1">
        <v>1</v>
      </c>
      <c r="C289" s="22">
        <v>4.9444999999999997</v>
      </c>
      <c r="D289" s="36">
        <f t="shared" si="10"/>
        <v>4.9444999999999997</v>
      </c>
    </row>
    <row r="290" spans="1:4" x14ac:dyDescent="0.2">
      <c r="A290" s="3">
        <v>40101</v>
      </c>
      <c r="B290" s="1">
        <v>2</v>
      </c>
      <c r="C290" s="22">
        <v>0.94</v>
      </c>
      <c r="D290" s="36">
        <f t="shared" si="10"/>
        <v>1.88</v>
      </c>
    </row>
    <row r="291" spans="1:4" x14ac:dyDescent="0.2">
      <c r="A291" s="3">
        <v>40102</v>
      </c>
      <c r="B291" s="1">
        <v>8</v>
      </c>
      <c r="C291" s="22">
        <v>0.88449999999999995</v>
      </c>
      <c r="D291" s="36">
        <f t="shared" si="10"/>
        <v>7.0759999999999996</v>
      </c>
    </row>
    <row r="292" spans="1:4" x14ac:dyDescent="0.2">
      <c r="A292" s="3">
        <v>40103</v>
      </c>
      <c r="B292" s="1">
        <v>7</v>
      </c>
      <c r="C292" s="22">
        <v>0.83630000000000004</v>
      </c>
      <c r="D292" s="36">
        <f t="shared" si="10"/>
        <v>5.8541000000000007</v>
      </c>
    </row>
    <row r="293" spans="1:4" x14ac:dyDescent="0.2">
      <c r="A293" s="3">
        <v>40104</v>
      </c>
      <c r="B293" s="1">
        <v>1</v>
      </c>
      <c r="C293" s="22">
        <v>2.8441000000000001</v>
      </c>
      <c r="D293" s="36">
        <f t="shared" si="10"/>
        <v>2.8441000000000001</v>
      </c>
    </row>
    <row r="294" spans="1:4" x14ac:dyDescent="0.2">
      <c r="A294" s="3">
        <v>40105</v>
      </c>
      <c r="B294" s="1">
        <v>7</v>
      </c>
      <c r="C294" s="22">
        <v>0.21579999999999999</v>
      </c>
      <c r="D294" s="36">
        <f t="shared" si="10"/>
        <v>1.5105999999999999</v>
      </c>
    </row>
    <row r="295" spans="1:4" x14ac:dyDescent="0.2">
      <c r="A295" s="3">
        <v>40106</v>
      </c>
      <c r="B295" s="1">
        <v>5</v>
      </c>
      <c r="C295" s="22">
        <v>4.3712999999999997</v>
      </c>
      <c r="D295" s="36">
        <f t="shared" si="10"/>
        <v>21.856499999999997</v>
      </c>
    </row>
    <row r="296" spans="1:4" x14ac:dyDescent="0.2">
      <c r="A296" s="3">
        <v>40107</v>
      </c>
      <c r="B296" s="1">
        <v>5</v>
      </c>
      <c r="C296" s="22">
        <v>3.3976999999999999</v>
      </c>
      <c r="D296" s="36">
        <f t="shared" si="10"/>
        <v>16.988499999999998</v>
      </c>
    </row>
    <row r="297" spans="1:4" x14ac:dyDescent="0.2">
      <c r="A297" s="3">
        <v>40108</v>
      </c>
      <c r="B297" s="1">
        <v>1</v>
      </c>
      <c r="C297" s="22">
        <v>1.4252</v>
      </c>
      <c r="D297" s="36">
        <f t="shared" si="10"/>
        <v>1.4252</v>
      </c>
    </row>
    <row r="298" spans="1:4" x14ac:dyDescent="0.2">
      <c r="A298" s="3">
        <v>40109</v>
      </c>
      <c r="B298" s="1">
        <v>8</v>
      </c>
      <c r="C298" s="22">
        <v>1.0282</v>
      </c>
      <c r="D298" s="36">
        <f t="shared" si="10"/>
        <v>8.2256</v>
      </c>
    </row>
    <row r="299" spans="1:4" x14ac:dyDescent="0.2">
      <c r="A299" s="3">
        <v>40110</v>
      </c>
      <c r="B299" s="1">
        <v>8</v>
      </c>
      <c r="C299" s="22">
        <v>1.2807999999999999</v>
      </c>
      <c r="D299" s="36">
        <f t="shared" si="10"/>
        <v>10.2464</v>
      </c>
    </row>
    <row r="300" spans="1:4" x14ac:dyDescent="0.2">
      <c r="A300" s="3">
        <v>40111</v>
      </c>
      <c r="B300" s="1">
        <v>7</v>
      </c>
      <c r="C300" s="22">
        <v>0.52969999999999995</v>
      </c>
      <c r="D300" s="36">
        <f t="shared" si="10"/>
        <v>3.7078999999999995</v>
      </c>
    </row>
    <row r="301" spans="1:4" x14ac:dyDescent="0.2">
      <c r="A301" s="3">
        <v>40112</v>
      </c>
      <c r="B301" s="1">
        <v>8</v>
      </c>
      <c r="C301" s="22">
        <v>10.457000000000001</v>
      </c>
      <c r="D301" s="36">
        <f t="shared" si="10"/>
        <v>83.656000000000006</v>
      </c>
    </row>
    <row r="302" spans="1:4" x14ac:dyDescent="0.2">
      <c r="A302" s="3">
        <v>40113</v>
      </c>
      <c r="B302" s="1">
        <v>11</v>
      </c>
      <c r="C302" s="22">
        <v>0.71599999999999997</v>
      </c>
      <c r="D302" s="36">
        <f t="shared" si="10"/>
        <v>7.8759999999999994</v>
      </c>
    </row>
    <row r="303" spans="1:4" x14ac:dyDescent="0.2">
      <c r="A303" s="3">
        <v>40114</v>
      </c>
      <c r="B303" s="1">
        <v>3</v>
      </c>
      <c r="C303" s="22">
        <v>1.3015000000000001</v>
      </c>
      <c r="D303" s="36">
        <f t="shared" si="10"/>
        <v>3.9045000000000005</v>
      </c>
    </row>
    <row r="304" spans="1:4" x14ac:dyDescent="0.2">
      <c r="A304" s="3">
        <v>40115</v>
      </c>
      <c r="B304" s="1">
        <v>6</v>
      </c>
      <c r="C304" s="22">
        <v>1.1785000000000001</v>
      </c>
      <c r="D304" s="36">
        <f t="shared" si="10"/>
        <v>7.0710000000000006</v>
      </c>
    </row>
    <row r="305" spans="1:4" x14ac:dyDescent="0.2">
      <c r="A305" s="3">
        <v>40116</v>
      </c>
      <c r="B305" s="1">
        <v>6</v>
      </c>
      <c r="C305" s="22">
        <v>0.53849999999999998</v>
      </c>
      <c r="D305" s="36">
        <f t="shared" si="10"/>
        <v>3.2309999999999999</v>
      </c>
    </row>
    <row r="306" spans="1:4" x14ac:dyDescent="0.2">
      <c r="A306" s="3">
        <v>40117</v>
      </c>
      <c r="B306" s="1">
        <v>3</v>
      </c>
      <c r="C306" s="22">
        <v>1.3592</v>
      </c>
      <c r="D306" s="36">
        <f t="shared" si="10"/>
        <v>4.0776000000000003</v>
      </c>
    </row>
    <row r="307" spans="1:4" x14ac:dyDescent="0.2">
      <c r="A307" s="3">
        <v>40118</v>
      </c>
      <c r="B307" s="1">
        <v>6</v>
      </c>
      <c r="C307" s="22">
        <v>0.5575</v>
      </c>
      <c r="D307" s="36">
        <f t="shared" si="10"/>
        <v>3.3449999999999998</v>
      </c>
    </row>
    <row r="308" spans="1:4" x14ac:dyDescent="0.2">
      <c r="A308" s="3">
        <v>40119</v>
      </c>
      <c r="B308" s="1">
        <v>2</v>
      </c>
      <c r="C308" s="22">
        <v>1.8737999999999999</v>
      </c>
      <c r="D308" s="36">
        <f t="shared" si="10"/>
        <v>3.7475999999999998</v>
      </c>
    </row>
    <row r="309" spans="1:4" x14ac:dyDescent="0.2">
      <c r="A309" s="3">
        <v>40120</v>
      </c>
      <c r="B309" s="1">
        <v>4</v>
      </c>
      <c r="C309" s="22">
        <v>9.1468000000000007</v>
      </c>
      <c r="D309" s="36">
        <f t="shared" si="10"/>
        <v>36.587200000000003</v>
      </c>
    </row>
    <row r="310" spans="1:4" x14ac:dyDescent="0.2">
      <c r="A310" s="3">
        <v>40121</v>
      </c>
      <c r="B310" s="1">
        <v>3</v>
      </c>
      <c r="C310" s="22">
        <v>0.52690000000000003</v>
      </c>
      <c r="D310" s="36">
        <f t="shared" si="10"/>
        <v>1.5807000000000002</v>
      </c>
    </row>
    <row r="311" spans="1:4" x14ac:dyDescent="0.2">
      <c r="A311" s="3">
        <v>40122</v>
      </c>
      <c r="B311" s="1">
        <v>1</v>
      </c>
      <c r="C311" s="22">
        <v>0.20180000000000001</v>
      </c>
      <c r="D311" s="36">
        <f t="shared" si="10"/>
        <v>0.20180000000000001</v>
      </c>
    </row>
    <row r="312" spans="1:4" x14ac:dyDescent="0.2">
      <c r="A312" s="3">
        <v>40123</v>
      </c>
      <c r="B312" s="1">
        <v>1</v>
      </c>
      <c r="C312" s="22">
        <v>0.45250000000000001</v>
      </c>
      <c r="D312" s="36">
        <f t="shared" si="10"/>
        <v>0.45250000000000001</v>
      </c>
    </row>
    <row r="313" spans="1:4" x14ac:dyDescent="0.2">
      <c r="A313" s="3">
        <v>40124</v>
      </c>
      <c r="B313" s="1">
        <v>1</v>
      </c>
      <c r="C313" s="22">
        <v>0.41220000000000001</v>
      </c>
      <c r="D313" s="36">
        <f t="shared" si="10"/>
        <v>0.41220000000000001</v>
      </c>
    </row>
    <row r="314" spans="1:4" x14ac:dyDescent="0.2">
      <c r="A314" s="3">
        <v>40125</v>
      </c>
      <c r="B314" s="1">
        <v>10</v>
      </c>
      <c r="C314" s="22">
        <v>0.77429999999999999</v>
      </c>
      <c r="D314" s="36">
        <f t="shared" si="10"/>
        <v>7.7430000000000003</v>
      </c>
    </row>
    <row r="315" spans="1:4" x14ac:dyDescent="0.2">
      <c r="A315" s="3">
        <v>40126</v>
      </c>
      <c r="B315" s="1">
        <v>2</v>
      </c>
      <c r="C315" s="22">
        <v>1.4119999999999999</v>
      </c>
      <c r="D315" s="36">
        <f t="shared" si="10"/>
        <v>2.8239999999999998</v>
      </c>
    </row>
    <row r="316" spans="1:4" x14ac:dyDescent="0.2">
      <c r="A316" s="3">
        <v>40127</v>
      </c>
      <c r="B316" s="1">
        <v>5</v>
      </c>
      <c r="C316" s="22">
        <v>2.6009000000000002</v>
      </c>
      <c r="D316" s="36">
        <f t="shared" si="10"/>
        <v>13.0045</v>
      </c>
    </row>
    <row r="317" spans="1:4" x14ac:dyDescent="0.2">
      <c r="A317" s="3">
        <v>40128</v>
      </c>
      <c r="B317" s="1">
        <v>10</v>
      </c>
      <c r="C317" s="22">
        <v>0.54930000000000001</v>
      </c>
      <c r="D317" s="36">
        <f t="shared" si="10"/>
        <v>5.4930000000000003</v>
      </c>
    </row>
    <row r="318" spans="1:4" x14ac:dyDescent="0.2">
      <c r="A318" s="3">
        <v>40129</v>
      </c>
      <c r="B318" s="1">
        <v>4</v>
      </c>
      <c r="C318" s="22">
        <v>2.9054000000000002</v>
      </c>
      <c r="D318" s="36">
        <f t="shared" si="10"/>
        <v>11.621600000000001</v>
      </c>
    </row>
    <row r="319" spans="1:4" x14ac:dyDescent="0.2">
      <c r="A319" s="3">
        <v>40130</v>
      </c>
      <c r="B319" s="1">
        <v>8</v>
      </c>
      <c r="C319" s="22">
        <v>0.33700000000000002</v>
      </c>
      <c r="D319" s="36">
        <f t="shared" si="10"/>
        <v>2.6960000000000002</v>
      </c>
    </row>
    <row r="320" spans="1:4" x14ac:dyDescent="0.2">
      <c r="A320" s="3">
        <v>40131</v>
      </c>
      <c r="B320" s="1">
        <v>1</v>
      </c>
      <c r="C320" s="22">
        <v>1.8954</v>
      </c>
      <c r="D320" s="36">
        <f t="shared" si="10"/>
        <v>1.8954</v>
      </c>
    </row>
    <row r="321" spans="1:4" x14ac:dyDescent="0.2">
      <c r="A321" s="3">
        <v>40132</v>
      </c>
      <c r="B321" s="1">
        <v>3</v>
      </c>
      <c r="C321" s="22">
        <v>0.152</v>
      </c>
      <c r="D321" s="36">
        <f t="shared" si="10"/>
        <v>0.45599999999999996</v>
      </c>
    </row>
    <row r="322" spans="1:4" x14ac:dyDescent="0.2">
      <c r="A322" s="3">
        <v>40133</v>
      </c>
      <c r="B322" s="1">
        <v>2</v>
      </c>
      <c r="C322" s="22">
        <v>0.79879999999999995</v>
      </c>
      <c r="D322" s="36">
        <f t="shared" si="10"/>
        <v>1.5975999999999999</v>
      </c>
    </row>
    <row r="323" spans="1:4" x14ac:dyDescent="0.2">
      <c r="A323" s="3">
        <v>40134</v>
      </c>
      <c r="B323" s="1">
        <v>1</v>
      </c>
      <c r="C323" s="22">
        <v>1.2924</v>
      </c>
      <c r="D323" s="36">
        <f t="shared" si="10"/>
        <v>1.2924</v>
      </c>
    </row>
    <row r="324" spans="1:4" x14ac:dyDescent="0.2">
      <c r="A324" s="3">
        <v>40135</v>
      </c>
      <c r="B324" s="1">
        <v>12</v>
      </c>
      <c r="C324" s="22">
        <v>0.40060000000000001</v>
      </c>
      <c r="D324" s="36">
        <f t="shared" ref="D324:D387" si="11">B324*C324</f>
        <v>4.8071999999999999</v>
      </c>
    </row>
    <row r="325" spans="1:4" x14ac:dyDescent="0.2">
      <c r="A325" s="3">
        <v>40136</v>
      </c>
      <c r="B325" s="1">
        <v>3</v>
      </c>
      <c r="C325" s="22">
        <v>0.45329999999999998</v>
      </c>
      <c r="D325" s="36">
        <f t="shared" si="11"/>
        <v>1.3598999999999999</v>
      </c>
    </row>
    <row r="326" spans="1:4" x14ac:dyDescent="0.2">
      <c r="A326" s="3">
        <v>40137</v>
      </c>
      <c r="B326" s="1">
        <v>7</v>
      </c>
      <c r="C326" s="22">
        <v>0.18060000000000001</v>
      </c>
      <c r="D326" s="36">
        <f t="shared" si="11"/>
        <v>1.2642</v>
      </c>
    </row>
    <row r="327" spans="1:4" x14ac:dyDescent="0.2">
      <c r="A327" s="3">
        <v>40138</v>
      </c>
      <c r="B327" s="1">
        <v>1</v>
      </c>
      <c r="C327" s="22">
        <v>0.74370000000000003</v>
      </c>
      <c r="D327" s="36">
        <f t="shared" si="11"/>
        <v>0.74370000000000003</v>
      </c>
    </row>
    <row r="328" spans="1:4" x14ac:dyDescent="0.2">
      <c r="A328" s="3">
        <v>40139</v>
      </c>
      <c r="B328" s="1">
        <v>1</v>
      </c>
      <c r="C328" s="22">
        <v>0.24879999999999999</v>
      </c>
      <c r="D328" s="36">
        <f t="shared" si="11"/>
        <v>0.24879999999999999</v>
      </c>
    </row>
    <row r="329" spans="1:4" x14ac:dyDescent="0.2">
      <c r="A329" s="3">
        <v>40140</v>
      </c>
      <c r="B329" s="1">
        <v>3</v>
      </c>
      <c r="C329" s="22">
        <v>0.68569999999999998</v>
      </c>
      <c r="D329" s="36">
        <f t="shared" si="11"/>
        <v>2.0571000000000002</v>
      </c>
    </row>
    <row r="330" spans="1:4" x14ac:dyDescent="0.2">
      <c r="A330" s="3">
        <v>40141</v>
      </c>
      <c r="B330" s="1">
        <v>1</v>
      </c>
      <c r="C330" s="22">
        <v>0.68320000000000003</v>
      </c>
      <c r="D330" s="36">
        <f t="shared" si="11"/>
        <v>0.68320000000000003</v>
      </c>
    </row>
    <row r="331" spans="1:4" x14ac:dyDescent="0.2">
      <c r="A331" s="3">
        <v>40142</v>
      </c>
      <c r="B331" s="1">
        <v>9</v>
      </c>
      <c r="C331" s="22">
        <v>3.5129999999999999</v>
      </c>
      <c r="D331" s="36">
        <f t="shared" si="11"/>
        <v>31.616999999999997</v>
      </c>
    </row>
    <row r="332" spans="1:4" x14ac:dyDescent="0.2">
      <c r="A332" s="3">
        <v>40143</v>
      </c>
      <c r="B332" s="1">
        <v>7</v>
      </c>
      <c r="C332" s="22">
        <v>10.626899999999999</v>
      </c>
      <c r="D332" s="36">
        <f t="shared" si="11"/>
        <v>74.388299999999987</v>
      </c>
    </row>
    <row r="333" spans="1:4" x14ac:dyDescent="0.2">
      <c r="A333" s="3">
        <v>40144</v>
      </c>
      <c r="B333" s="1">
        <v>8</v>
      </c>
      <c r="C333" s="22">
        <v>0.91390000000000005</v>
      </c>
      <c r="D333" s="36">
        <f t="shared" si="11"/>
        <v>7.3112000000000004</v>
      </c>
    </row>
    <row r="334" spans="1:4" x14ac:dyDescent="0.2">
      <c r="A334" s="3">
        <v>40145</v>
      </c>
      <c r="B334" s="1">
        <v>5</v>
      </c>
      <c r="C334" s="22">
        <v>2.1332</v>
      </c>
      <c r="D334" s="36">
        <f t="shared" si="11"/>
        <v>10.666</v>
      </c>
    </row>
    <row r="335" spans="1:4" x14ac:dyDescent="0.2">
      <c r="A335" s="3">
        <v>40146</v>
      </c>
      <c r="B335" s="1">
        <v>8</v>
      </c>
      <c r="C335" s="22">
        <v>0.39029999999999998</v>
      </c>
      <c r="D335" s="36">
        <f t="shared" si="11"/>
        <v>3.1223999999999998</v>
      </c>
    </row>
    <row r="336" spans="1:4" x14ac:dyDescent="0.2">
      <c r="A336" s="3">
        <v>40147</v>
      </c>
      <c r="B336" s="1">
        <v>1</v>
      </c>
      <c r="C336" s="22">
        <v>0.23830000000000001</v>
      </c>
      <c r="D336" s="36">
        <f t="shared" si="11"/>
        <v>0.23830000000000001</v>
      </c>
    </row>
    <row r="337" spans="1:4" x14ac:dyDescent="0.2">
      <c r="A337" s="3">
        <v>40148</v>
      </c>
      <c r="B337" s="1">
        <v>4</v>
      </c>
      <c r="C337" s="22">
        <v>2.0047999999999999</v>
      </c>
      <c r="D337" s="36">
        <f t="shared" si="11"/>
        <v>8.0191999999999997</v>
      </c>
    </row>
    <row r="338" spans="1:4" x14ac:dyDescent="0.2">
      <c r="A338" s="3">
        <v>40149</v>
      </c>
      <c r="B338" s="1">
        <v>3</v>
      </c>
      <c r="C338" s="22">
        <v>8.4199999999999997E-2</v>
      </c>
      <c r="D338" s="36">
        <f t="shared" si="11"/>
        <v>0.25259999999999999</v>
      </c>
    </row>
    <row r="339" spans="1:4" x14ac:dyDescent="0.2">
      <c r="A339" s="3">
        <v>40150</v>
      </c>
      <c r="B339" s="1">
        <v>6</v>
      </c>
      <c r="C339" s="22">
        <v>2.0804999999999998</v>
      </c>
      <c r="D339" s="36">
        <f t="shared" si="11"/>
        <v>12.482999999999999</v>
      </c>
    </row>
    <row r="340" spans="1:4" x14ac:dyDescent="0.2">
      <c r="A340" s="3">
        <v>40151</v>
      </c>
      <c r="B340" s="1">
        <v>8</v>
      </c>
      <c r="C340" s="22">
        <v>1.5456000000000001</v>
      </c>
      <c r="D340" s="36">
        <f t="shared" si="11"/>
        <v>12.364800000000001</v>
      </c>
    </row>
    <row r="341" spans="1:4" x14ac:dyDescent="0.2">
      <c r="A341" s="3">
        <v>40152</v>
      </c>
      <c r="B341" s="1">
        <v>3</v>
      </c>
      <c r="C341" s="22">
        <v>2.2187000000000001</v>
      </c>
      <c r="D341" s="36">
        <f t="shared" si="11"/>
        <v>6.6561000000000003</v>
      </c>
    </row>
    <row r="342" spans="1:4" x14ac:dyDescent="0.2">
      <c r="A342" s="3">
        <v>40153</v>
      </c>
      <c r="B342" s="1">
        <v>3</v>
      </c>
      <c r="C342" s="22">
        <v>1.4496</v>
      </c>
      <c r="D342" s="36">
        <f t="shared" si="11"/>
        <v>4.3487999999999998</v>
      </c>
    </row>
    <row r="343" spans="1:4" x14ac:dyDescent="0.2">
      <c r="A343" s="3">
        <v>40154</v>
      </c>
      <c r="B343" s="1">
        <v>1</v>
      </c>
      <c r="C343" s="22">
        <v>0.26569999999999999</v>
      </c>
      <c r="D343" s="36">
        <f t="shared" si="11"/>
        <v>0.26569999999999999</v>
      </c>
    </row>
    <row r="344" spans="1:4" x14ac:dyDescent="0.2">
      <c r="A344" s="3">
        <v>40155</v>
      </c>
      <c r="B344" s="1">
        <v>3</v>
      </c>
      <c r="C344" s="22">
        <v>2.1947999999999999</v>
      </c>
      <c r="D344" s="36">
        <f t="shared" si="11"/>
        <v>6.5843999999999996</v>
      </c>
    </row>
    <row r="345" spans="1:4" x14ac:dyDescent="0.2">
      <c r="A345" s="3">
        <v>40156</v>
      </c>
      <c r="B345" s="1">
        <v>8</v>
      </c>
      <c r="C345" s="22">
        <v>0.49349999999999999</v>
      </c>
      <c r="D345" s="36">
        <f t="shared" si="11"/>
        <v>3.948</v>
      </c>
    </row>
    <row r="346" spans="1:4" x14ac:dyDescent="0.2">
      <c r="A346" s="3">
        <v>40157</v>
      </c>
      <c r="B346" s="1">
        <v>2</v>
      </c>
      <c r="C346" s="22">
        <v>0.2334</v>
      </c>
      <c r="D346" s="36">
        <f t="shared" si="11"/>
        <v>0.46679999999999999</v>
      </c>
    </row>
    <row r="347" spans="1:4" x14ac:dyDescent="0.2">
      <c r="A347" s="3">
        <v>40158</v>
      </c>
      <c r="B347" s="1">
        <v>5</v>
      </c>
      <c r="C347" s="22">
        <v>1.5681</v>
      </c>
      <c r="D347" s="36">
        <f t="shared" si="11"/>
        <v>7.8405000000000005</v>
      </c>
    </row>
    <row r="348" spans="1:4" x14ac:dyDescent="0.2">
      <c r="A348" s="3">
        <v>40159</v>
      </c>
      <c r="B348" s="1">
        <v>6</v>
      </c>
      <c r="C348" s="22">
        <v>0.74580000000000002</v>
      </c>
      <c r="D348" s="36">
        <f t="shared" si="11"/>
        <v>4.4748000000000001</v>
      </c>
    </row>
    <row r="349" spans="1:4" x14ac:dyDescent="0.2">
      <c r="A349" s="3">
        <v>40160</v>
      </c>
      <c r="B349" s="1">
        <v>1</v>
      </c>
      <c r="C349" s="22">
        <v>0.6502</v>
      </c>
      <c r="D349" s="36">
        <f t="shared" si="11"/>
        <v>0.6502</v>
      </c>
    </row>
    <row r="350" spans="1:4" x14ac:dyDescent="0.2">
      <c r="A350" s="3">
        <v>40161</v>
      </c>
      <c r="B350" s="1">
        <v>1</v>
      </c>
      <c r="C350" s="22">
        <v>0.38679999999999998</v>
      </c>
      <c r="D350" s="36">
        <f t="shared" si="11"/>
        <v>0.38679999999999998</v>
      </c>
    </row>
    <row r="351" spans="1:4" x14ac:dyDescent="0.2">
      <c r="A351" s="3">
        <v>40162</v>
      </c>
      <c r="B351" s="1">
        <v>1</v>
      </c>
      <c r="C351" s="22">
        <v>1.1759999999999999</v>
      </c>
      <c r="D351" s="36">
        <f t="shared" si="11"/>
        <v>1.1759999999999999</v>
      </c>
    </row>
    <row r="352" spans="1:4" x14ac:dyDescent="0.2">
      <c r="A352" s="3">
        <v>40163</v>
      </c>
      <c r="B352" s="1">
        <v>4</v>
      </c>
      <c r="C352" s="22">
        <v>0.19650000000000001</v>
      </c>
      <c r="D352" s="36">
        <f t="shared" si="11"/>
        <v>0.78600000000000003</v>
      </c>
    </row>
    <row r="353" spans="1:4" x14ac:dyDescent="0.2">
      <c r="A353" s="3">
        <v>40544</v>
      </c>
      <c r="B353" s="1">
        <v>10</v>
      </c>
      <c r="C353" s="22">
        <v>0.59099999999999997</v>
      </c>
      <c r="D353" s="36">
        <f t="shared" si="11"/>
        <v>5.91</v>
      </c>
    </row>
    <row r="354" spans="1:4" x14ac:dyDescent="0.2">
      <c r="A354" s="3">
        <v>40545</v>
      </c>
      <c r="B354" s="1">
        <v>3</v>
      </c>
      <c r="C354" s="22">
        <v>0.53410000000000002</v>
      </c>
      <c r="D354" s="36">
        <f t="shared" si="11"/>
        <v>1.6023000000000001</v>
      </c>
    </row>
    <row r="355" spans="1:4" x14ac:dyDescent="0.2">
      <c r="A355" s="3">
        <v>40546</v>
      </c>
      <c r="B355" s="1">
        <v>5</v>
      </c>
      <c r="C355" s="22">
        <v>1.0566</v>
      </c>
      <c r="D355" s="36">
        <f t="shared" si="11"/>
        <v>5.2829999999999995</v>
      </c>
    </row>
    <row r="356" spans="1:4" x14ac:dyDescent="0.2">
      <c r="A356" s="3">
        <v>40547</v>
      </c>
      <c r="B356" s="1">
        <v>5</v>
      </c>
      <c r="C356" s="22">
        <v>1.9008</v>
      </c>
      <c r="D356" s="36">
        <f t="shared" si="11"/>
        <v>9.5039999999999996</v>
      </c>
    </row>
    <row r="357" spans="1:4" x14ac:dyDescent="0.2">
      <c r="A357" s="3">
        <v>40548</v>
      </c>
      <c r="B357" s="1">
        <v>6</v>
      </c>
      <c r="C357" s="22">
        <v>2.4942000000000002</v>
      </c>
      <c r="D357" s="36">
        <f t="shared" si="11"/>
        <v>14.965200000000001</v>
      </c>
    </row>
    <row r="358" spans="1:4" x14ac:dyDescent="0.2">
      <c r="A358" s="3">
        <v>40549</v>
      </c>
      <c r="B358" s="1">
        <v>1</v>
      </c>
      <c r="C358" s="22">
        <v>0.70640000000000003</v>
      </c>
      <c r="D358" s="36">
        <f t="shared" si="11"/>
        <v>0.70640000000000003</v>
      </c>
    </row>
    <row r="359" spans="1:4" x14ac:dyDescent="0.2">
      <c r="A359" s="3">
        <v>40550</v>
      </c>
      <c r="B359" s="1">
        <v>5</v>
      </c>
      <c r="C359" s="22">
        <v>0.87929999999999997</v>
      </c>
      <c r="D359" s="36">
        <f t="shared" si="11"/>
        <v>4.3964999999999996</v>
      </c>
    </row>
    <row r="360" spans="1:4" x14ac:dyDescent="0.2">
      <c r="A360" s="3">
        <v>40551</v>
      </c>
      <c r="B360" s="1">
        <v>3</v>
      </c>
      <c r="C360" s="22">
        <v>2.8936999999999999</v>
      </c>
      <c r="D360" s="36">
        <f t="shared" si="11"/>
        <v>8.6811000000000007</v>
      </c>
    </row>
    <row r="361" spans="1:4" x14ac:dyDescent="0.2">
      <c r="A361" s="3">
        <v>40552</v>
      </c>
      <c r="B361" s="1">
        <v>1</v>
      </c>
      <c r="C361" s="22">
        <v>2.8656999999999999</v>
      </c>
      <c r="D361" s="36">
        <f t="shared" si="11"/>
        <v>2.8656999999999999</v>
      </c>
    </row>
    <row r="362" spans="1:4" x14ac:dyDescent="0.2">
      <c r="A362" s="3">
        <v>40553</v>
      </c>
      <c r="B362" s="1">
        <v>3</v>
      </c>
      <c r="C362" s="22">
        <v>0.78180000000000005</v>
      </c>
      <c r="D362" s="36">
        <f t="shared" si="11"/>
        <v>2.3454000000000002</v>
      </c>
    </row>
    <row r="363" spans="1:4" x14ac:dyDescent="0.2">
      <c r="A363" s="3">
        <v>40554</v>
      </c>
      <c r="B363" s="1">
        <v>5</v>
      </c>
      <c r="C363" s="22">
        <v>0.37709999999999999</v>
      </c>
      <c r="D363" s="36">
        <f t="shared" si="11"/>
        <v>1.8855</v>
      </c>
    </row>
    <row r="364" spans="1:4" x14ac:dyDescent="0.2">
      <c r="A364" s="3">
        <v>40555</v>
      </c>
      <c r="B364" s="1">
        <v>6</v>
      </c>
      <c r="C364" s="22">
        <v>0.39429999999999998</v>
      </c>
      <c r="D364" s="36">
        <f t="shared" si="11"/>
        <v>2.3658000000000001</v>
      </c>
    </row>
    <row r="365" spans="1:4" x14ac:dyDescent="0.2">
      <c r="A365" s="3">
        <v>40556</v>
      </c>
      <c r="B365" s="1">
        <v>1</v>
      </c>
      <c r="C365" s="22">
        <v>2.1494</v>
      </c>
      <c r="D365" s="36">
        <f t="shared" si="11"/>
        <v>2.1494</v>
      </c>
    </row>
    <row r="366" spans="1:4" x14ac:dyDescent="0.2">
      <c r="A366" s="3">
        <v>40557</v>
      </c>
      <c r="B366" s="1">
        <v>6</v>
      </c>
      <c r="C366" s="22">
        <v>1.1741999999999999</v>
      </c>
      <c r="D366" s="36">
        <f t="shared" si="11"/>
        <v>7.0451999999999995</v>
      </c>
    </row>
    <row r="367" spans="1:4" x14ac:dyDescent="0.2">
      <c r="A367" s="3">
        <v>40558</v>
      </c>
      <c r="B367" s="1">
        <v>4</v>
      </c>
      <c r="C367" s="22">
        <v>2.8130000000000002</v>
      </c>
      <c r="D367" s="36">
        <f t="shared" si="11"/>
        <v>11.252000000000001</v>
      </c>
    </row>
    <row r="368" spans="1:4" x14ac:dyDescent="0.2">
      <c r="A368" s="3">
        <v>40559</v>
      </c>
      <c r="B368" s="1">
        <v>2</v>
      </c>
      <c r="C368" s="22">
        <v>2.4411</v>
      </c>
      <c r="D368" s="36">
        <f t="shared" si="11"/>
        <v>4.8822000000000001</v>
      </c>
    </row>
    <row r="369" spans="1:4" x14ac:dyDescent="0.2">
      <c r="A369" s="3">
        <v>40560</v>
      </c>
      <c r="B369" s="1">
        <v>6</v>
      </c>
      <c r="C369" s="22">
        <v>1.0142</v>
      </c>
      <c r="D369" s="36">
        <f t="shared" si="11"/>
        <v>6.0852000000000004</v>
      </c>
    </row>
    <row r="370" spans="1:4" x14ac:dyDescent="0.2">
      <c r="A370" s="3">
        <v>40561</v>
      </c>
      <c r="B370" s="1">
        <v>12</v>
      </c>
      <c r="C370" s="22">
        <v>3.2134999999999998</v>
      </c>
      <c r="D370" s="36">
        <f t="shared" si="11"/>
        <v>38.561999999999998</v>
      </c>
    </row>
    <row r="371" spans="1:4" x14ac:dyDescent="0.2">
      <c r="A371" s="3">
        <v>40562</v>
      </c>
      <c r="B371" s="1">
        <v>1</v>
      </c>
      <c r="C371" s="22">
        <v>0.89339999999999997</v>
      </c>
      <c r="D371" s="36">
        <f t="shared" si="11"/>
        <v>0.89339999999999997</v>
      </c>
    </row>
    <row r="372" spans="1:4" x14ac:dyDescent="0.2">
      <c r="A372" s="3">
        <v>40563</v>
      </c>
      <c r="B372" s="1">
        <v>11</v>
      </c>
      <c r="C372" s="22">
        <v>1.4157</v>
      </c>
      <c r="D372" s="36">
        <f t="shared" si="11"/>
        <v>15.572699999999999</v>
      </c>
    </row>
    <row r="373" spans="1:4" x14ac:dyDescent="0.2">
      <c r="A373" s="3">
        <v>40564</v>
      </c>
      <c r="B373" s="1">
        <v>2</v>
      </c>
      <c r="C373" s="22">
        <v>0.82569999999999999</v>
      </c>
      <c r="D373" s="36">
        <f t="shared" si="11"/>
        <v>1.6514</v>
      </c>
    </row>
    <row r="374" spans="1:4" x14ac:dyDescent="0.2">
      <c r="A374" s="3">
        <v>40565</v>
      </c>
      <c r="B374" s="1">
        <v>4</v>
      </c>
      <c r="C374" s="22">
        <v>0.81599999999999995</v>
      </c>
      <c r="D374" s="36">
        <f t="shared" si="11"/>
        <v>3.2639999999999998</v>
      </c>
    </row>
    <row r="375" spans="1:4" x14ac:dyDescent="0.2">
      <c r="A375" s="3">
        <v>40566</v>
      </c>
      <c r="B375" s="1">
        <v>3</v>
      </c>
      <c r="C375" s="22">
        <v>1.0336000000000001</v>
      </c>
      <c r="D375" s="36">
        <f t="shared" si="11"/>
        <v>3.1008000000000004</v>
      </c>
    </row>
    <row r="376" spans="1:4" x14ac:dyDescent="0.2">
      <c r="A376" s="3">
        <v>40567</v>
      </c>
      <c r="B376" s="1">
        <v>2</v>
      </c>
      <c r="C376" s="22">
        <v>2.7784</v>
      </c>
      <c r="D376" s="36">
        <f t="shared" si="11"/>
        <v>5.5568</v>
      </c>
    </row>
    <row r="377" spans="1:4" x14ac:dyDescent="0.2">
      <c r="A377" s="3">
        <v>40568</v>
      </c>
      <c r="B377" s="1">
        <v>1</v>
      </c>
      <c r="C377" s="22">
        <v>1.8057000000000001</v>
      </c>
      <c r="D377" s="36">
        <f t="shared" si="11"/>
        <v>1.8057000000000001</v>
      </c>
    </row>
    <row r="378" spans="1:4" x14ac:dyDescent="0.2">
      <c r="A378" s="3">
        <v>40569</v>
      </c>
      <c r="B378" s="1">
        <v>3</v>
      </c>
      <c r="C378" s="22">
        <v>0.74690000000000001</v>
      </c>
      <c r="D378" s="36">
        <f t="shared" si="11"/>
        <v>2.2406999999999999</v>
      </c>
    </row>
    <row r="379" spans="1:4" x14ac:dyDescent="0.2">
      <c r="A379" s="3">
        <v>40570</v>
      </c>
      <c r="B379" s="1">
        <v>6</v>
      </c>
      <c r="C379" s="22">
        <v>5.9253</v>
      </c>
      <c r="D379" s="36">
        <f t="shared" si="11"/>
        <v>35.5518</v>
      </c>
    </row>
    <row r="380" spans="1:4" x14ac:dyDescent="0.2">
      <c r="A380" s="3">
        <v>40571</v>
      </c>
      <c r="B380" s="1">
        <v>5</v>
      </c>
      <c r="C380" s="22">
        <v>1.7896000000000001</v>
      </c>
      <c r="D380" s="36">
        <f t="shared" si="11"/>
        <v>8.9480000000000004</v>
      </c>
    </row>
    <row r="381" spans="1:4" x14ac:dyDescent="0.2">
      <c r="A381" s="3">
        <v>40572</v>
      </c>
      <c r="B381" s="1">
        <v>4</v>
      </c>
      <c r="C381" s="22">
        <v>0.8246</v>
      </c>
      <c r="D381" s="36">
        <f t="shared" si="11"/>
        <v>3.2984</v>
      </c>
    </row>
    <row r="382" spans="1:4" x14ac:dyDescent="0.2">
      <c r="A382" s="3">
        <v>40573</v>
      </c>
      <c r="B382" s="1">
        <v>3</v>
      </c>
      <c r="C382" s="22">
        <v>0.82509999999999994</v>
      </c>
      <c r="D382" s="36">
        <f t="shared" si="11"/>
        <v>2.4752999999999998</v>
      </c>
    </row>
    <row r="383" spans="1:4" x14ac:dyDescent="0.2">
      <c r="A383" s="3">
        <v>40574</v>
      </c>
      <c r="B383" s="1">
        <v>4</v>
      </c>
      <c r="C383" s="22">
        <v>9.5061999999999998</v>
      </c>
      <c r="D383" s="36">
        <f t="shared" si="11"/>
        <v>38.024799999999999</v>
      </c>
    </row>
    <row r="384" spans="1:4" x14ac:dyDescent="0.2">
      <c r="A384" s="3">
        <v>40575</v>
      </c>
      <c r="B384" s="1">
        <v>3</v>
      </c>
      <c r="C384" s="22">
        <v>2.1417000000000002</v>
      </c>
      <c r="D384" s="36">
        <f t="shared" si="11"/>
        <v>6.4251000000000005</v>
      </c>
    </row>
    <row r="385" spans="1:4" x14ac:dyDescent="0.2">
      <c r="A385" s="3">
        <v>40576</v>
      </c>
      <c r="B385" s="1">
        <v>1</v>
      </c>
      <c r="C385" s="22">
        <v>0.63129999999999997</v>
      </c>
      <c r="D385" s="36">
        <f t="shared" si="11"/>
        <v>0.63129999999999997</v>
      </c>
    </row>
    <row r="386" spans="1:4" x14ac:dyDescent="0.2">
      <c r="A386" s="3">
        <v>40577</v>
      </c>
      <c r="B386" s="1">
        <v>9</v>
      </c>
      <c r="C386" s="22">
        <v>9.0823999999999998</v>
      </c>
      <c r="D386" s="36">
        <f t="shared" si="11"/>
        <v>81.741600000000005</v>
      </c>
    </row>
    <row r="387" spans="1:4" x14ac:dyDescent="0.2">
      <c r="A387" s="3">
        <v>40578</v>
      </c>
      <c r="B387" s="1">
        <v>4</v>
      </c>
      <c r="C387" s="22">
        <v>1.6005</v>
      </c>
      <c r="D387" s="36">
        <f t="shared" si="11"/>
        <v>6.4020000000000001</v>
      </c>
    </row>
    <row r="388" spans="1:4" x14ac:dyDescent="0.2">
      <c r="A388" s="3">
        <v>40579</v>
      </c>
      <c r="B388" s="1">
        <v>6</v>
      </c>
      <c r="C388" s="22">
        <v>1.1025</v>
      </c>
      <c r="D388" s="36">
        <f t="shared" ref="D388:D451" si="12">B388*C388</f>
        <v>6.6150000000000002</v>
      </c>
    </row>
    <row r="389" spans="1:4" x14ac:dyDescent="0.2">
      <c r="A389" s="3">
        <v>40580</v>
      </c>
      <c r="B389" s="1">
        <v>5</v>
      </c>
      <c r="C389" s="22">
        <v>1.3161</v>
      </c>
      <c r="D389" s="36">
        <f t="shared" si="12"/>
        <v>6.5805000000000007</v>
      </c>
    </row>
    <row r="390" spans="1:4" x14ac:dyDescent="0.2">
      <c r="A390" s="3">
        <v>40581</v>
      </c>
      <c r="B390" s="1">
        <v>4</v>
      </c>
      <c r="C390" s="22">
        <v>2.6328999999999998</v>
      </c>
      <c r="D390" s="36">
        <f t="shared" si="12"/>
        <v>10.531599999999999</v>
      </c>
    </row>
    <row r="391" spans="1:4" x14ac:dyDescent="0.2">
      <c r="A391" s="3">
        <v>40582</v>
      </c>
      <c r="B391" s="1">
        <v>7</v>
      </c>
      <c r="C391" s="22">
        <v>3.5891000000000002</v>
      </c>
      <c r="D391" s="36">
        <f t="shared" si="12"/>
        <v>25.123699999999999</v>
      </c>
    </row>
    <row r="392" spans="1:4" x14ac:dyDescent="0.2">
      <c r="A392" s="3">
        <v>40583</v>
      </c>
      <c r="B392" s="1">
        <v>9</v>
      </c>
      <c r="C392" s="22">
        <v>1.7527999999999999</v>
      </c>
      <c r="D392" s="36">
        <f t="shared" si="12"/>
        <v>15.7752</v>
      </c>
    </row>
    <row r="393" spans="1:4" x14ac:dyDescent="0.2">
      <c r="A393" s="3">
        <v>40584</v>
      </c>
      <c r="B393" s="1">
        <v>1</v>
      </c>
      <c r="C393" s="22">
        <v>4.6551</v>
      </c>
      <c r="D393" s="36">
        <f t="shared" si="12"/>
        <v>4.6551</v>
      </c>
    </row>
    <row r="394" spans="1:4" x14ac:dyDescent="0.2">
      <c r="A394" s="3">
        <v>40585</v>
      </c>
      <c r="B394" s="1">
        <v>12</v>
      </c>
      <c r="C394" s="22">
        <v>1.5762</v>
      </c>
      <c r="D394" s="36">
        <f t="shared" si="12"/>
        <v>18.914400000000001</v>
      </c>
    </row>
    <row r="395" spans="1:4" x14ac:dyDescent="0.2">
      <c r="A395" s="3">
        <v>40586</v>
      </c>
      <c r="B395" s="1">
        <v>3</v>
      </c>
      <c r="C395" s="22">
        <v>0.86519999999999997</v>
      </c>
      <c r="D395" s="36">
        <f t="shared" si="12"/>
        <v>2.5956000000000001</v>
      </c>
    </row>
    <row r="396" spans="1:4" x14ac:dyDescent="0.2">
      <c r="A396" s="3">
        <v>40587</v>
      </c>
      <c r="B396" s="1">
        <v>3</v>
      </c>
      <c r="C396" s="22">
        <v>0.42920000000000003</v>
      </c>
      <c r="D396" s="36">
        <f t="shared" si="12"/>
        <v>1.2876000000000001</v>
      </c>
    </row>
    <row r="397" spans="1:4" x14ac:dyDescent="0.2">
      <c r="A397" s="3">
        <v>40588</v>
      </c>
      <c r="B397" s="1">
        <v>2</v>
      </c>
      <c r="C397" s="22">
        <v>0.87560000000000004</v>
      </c>
      <c r="D397" s="36">
        <f t="shared" si="12"/>
        <v>1.7512000000000001</v>
      </c>
    </row>
    <row r="398" spans="1:4" x14ac:dyDescent="0.2">
      <c r="A398" s="3">
        <v>40589</v>
      </c>
      <c r="B398" s="1">
        <v>6</v>
      </c>
      <c r="C398" s="22">
        <v>0.89039999999999997</v>
      </c>
      <c r="D398" s="36">
        <f t="shared" si="12"/>
        <v>5.3423999999999996</v>
      </c>
    </row>
    <row r="399" spans="1:4" x14ac:dyDescent="0.2">
      <c r="A399" s="3">
        <v>40590</v>
      </c>
      <c r="B399" s="1">
        <v>10</v>
      </c>
      <c r="C399" s="22">
        <v>1.8532</v>
      </c>
      <c r="D399" s="36">
        <f t="shared" si="12"/>
        <v>18.532</v>
      </c>
    </row>
    <row r="400" spans="1:4" x14ac:dyDescent="0.2">
      <c r="A400" s="3">
        <v>40591</v>
      </c>
      <c r="B400" s="1">
        <v>5</v>
      </c>
      <c r="C400" s="22">
        <v>1.6732</v>
      </c>
      <c r="D400" s="36">
        <f t="shared" si="12"/>
        <v>8.3659999999999997</v>
      </c>
    </row>
    <row r="401" spans="1:4" x14ac:dyDescent="0.2">
      <c r="A401" s="3">
        <v>40592</v>
      </c>
      <c r="B401" s="1">
        <v>6</v>
      </c>
      <c r="C401" s="22">
        <v>3.0695999999999999</v>
      </c>
      <c r="D401" s="36">
        <f t="shared" si="12"/>
        <v>18.4176</v>
      </c>
    </row>
    <row r="402" spans="1:4" x14ac:dyDescent="0.2">
      <c r="A402" s="3">
        <v>40593</v>
      </c>
      <c r="B402" s="1">
        <v>1</v>
      </c>
      <c r="C402" s="22">
        <v>1.0657000000000001</v>
      </c>
      <c r="D402" s="36">
        <f t="shared" si="12"/>
        <v>1.0657000000000001</v>
      </c>
    </row>
    <row r="403" spans="1:4" x14ac:dyDescent="0.2">
      <c r="A403" s="3">
        <v>40594</v>
      </c>
      <c r="B403" s="1">
        <v>1</v>
      </c>
      <c r="C403" s="22">
        <v>1.8380000000000001</v>
      </c>
      <c r="D403" s="36">
        <f t="shared" si="12"/>
        <v>1.8380000000000001</v>
      </c>
    </row>
    <row r="404" spans="1:4" x14ac:dyDescent="0.2">
      <c r="A404" s="3">
        <v>40595</v>
      </c>
      <c r="B404" s="1">
        <v>5</v>
      </c>
      <c r="C404" s="22">
        <v>1.5105</v>
      </c>
      <c r="D404" s="36">
        <f t="shared" si="12"/>
        <v>7.5525000000000002</v>
      </c>
    </row>
    <row r="405" spans="1:4" x14ac:dyDescent="0.2">
      <c r="A405" s="3">
        <v>40596</v>
      </c>
      <c r="B405" s="1">
        <v>5</v>
      </c>
      <c r="C405" s="22">
        <v>1.6335</v>
      </c>
      <c r="D405" s="36">
        <f t="shared" si="12"/>
        <v>8.1675000000000004</v>
      </c>
    </row>
    <row r="406" spans="1:4" x14ac:dyDescent="0.2">
      <c r="A406" s="3">
        <v>40597</v>
      </c>
      <c r="B406" s="1">
        <v>1</v>
      </c>
      <c r="C406" s="22">
        <v>2.6173999999999999</v>
      </c>
      <c r="D406" s="36">
        <f t="shared" si="12"/>
        <v>2.6173999999999999</v>
      </c>
    </row>
    <row r="407" spans="1:4" x14ac:dyDescent="0.2">
      <c r="A407" s="3">
        <v>40598</v>
      </c>
      <c r="B407" s="1">
        <v>9</v>
      </c>
      <c r="C407" s="22">
        <v>2.1417000000000002</v>
      </c>
      <c r="D407" s="36">
        <f t="shared" si="12"/>
        <v>19.275300000000001</v>
      </c>
    </row>
    <row r="408" spans="1:4" x14ac:dyDescent="0.2">
      <c r="A408" s="3">
        <v>40599</v>
      </c>
      <c r="B408" s="1">
        <v>7</v>
      </c>
      <c r="C408" s="22">
        <v>7.3845000000000001</v>
      </c>
      <c r="D408" s="36">
        <f t="shared" si="12"/>
        <v>51.691499999999998</v>
      </c>
    </row>
    <row r="409" spans="1:4" x14ac:dyDescent="0.2">
      <c r="A409" s="3">
        <v>40600</v>
      </c>
      <c r="B409" s="1">
        <v>3</v>
      </c>
      <c r="C409" s="22">
        <v>0.90539999999999998</v>
      </c>
      <c r="D409" s="36">
        <f t="shared" si="12"/>
        <v>2.7161999999999997</v>
      </c>
    </row>
    <row r="410" spans="1:4" x14ac:dyDescent="0.2">
      <c r="A410" s="3">
        <v>40601</v>
      </c>
      <c r="B410" s="1">
        <v>1</v>
      </c>
      <c r="C410" s="22">
        <v>1.2436</v>
      </c>
      <c r="D410" s="36">
        <f t="shared" si="12"/>
        <v>1.2436</v>
      </c>
    </row>
    <row r="411" spans="1:4" x14ac:dyDescent="0.2">
      <c r="A411" s="3">
        <v>40602</v>
      </c>
      <c r="B411" s="1">
        <v>1</v>
      </c>
      <c r="C411" s="22">
        <v>0.14230000000000001</v>
      </c>
      <c r="D411" s="36">
        <f t="shared" si="12"/>
        <v>0.14230000000000001</v>
      </c>
    </row>
    <row r="412" spans="1:4" x14ac:dyDescent="0.2">
      <c r="A412" s="3">
        <v>40603</v>
      </c>
      <c r="B412" s="1">
        <v>5</v>
      </c>
      <c r="C412" s="22">
        <v>0.65069999999999995</v>
      </c>
      <c r="D412" s="36">
        <f t="shared" si="12"/>
        <v>3.2534999999999998</v>
      </c>
    </row>
    <row r="413" spans="1:4" x14ac:dyDescent="0.2">
      <c r="A413" s="3">
        <v>40604</v>
      </c>
      <c r="B413" s="1">
        <v>8</v>
      </c>
      <c r="C413" s="22">
        <v>9.8842999999999996</v>
      </c>
      <c r="D413" s="36">
        <f t="shared" si="12"/>
        <v>79.074399999999997</v>
      </c>
    </row>
    <row r="414" spans="1:4" x14ac:dyDescent="0.2">
      <c r="A414" s="3">
        <v>40605</v>
      </c>
      <c r="B414" s="1">
        <v>4</v>
      </c>
      <c r="C414" s="22">
        <v>2.9426000000000001</v>
      </c>
      <c r="D414" s="36">
        <f t="shared" si="12"/>
        <v>11.7704</v>
      </c>
    </row>
    <row r="415" spans="1:4" x14ac:dyDescent="0.2">
      <c r="A415" s="3">
        <v>40606</v>
      </c>
      <c r="B415" s="1">
        <v>9</v>
      </c>
      <c r="C415" s="22">
        <v>8.1529000000000007</v>
      </c>
      <c r="D415" s="36">
        <f t="shared" si="12"/>
        <v>73.376100000000008</v>
      </c>
    </row>
    <row r="416" spans="1:4" x14ac:dyDescent="0.2">
      <c r="A416" s="3">
        <v>40607</v>
      </c>
      <c r="B416" s="1">
        <v>3</v>
      </c>
      <c r="C416" s="22">
        <v>0.64039999999999997</v>
      </c>
      <c r="D416" s="36">
        <f t="shared" si="12"/>
        <v>1.9211999999999998</v>
      </c>
    </row>
    <row r="417" spans="1:4" x14ac:dyDescent="0.2">
      <c r="A417" s="3">
        <v>40608</v>
      </c>
      <c r="B417" s="1">
        <v>9</v>
      </c>
      <c r="C417" s="22">
        <v>0.58750000000000002</v>
      </c>
      <c r="D417" s="36">
        <f t="shared" si="12"/>
        <v>5.2875000000000005</v>
      </c>
    </row>
    <row r="418" spans="1:4" x14ac:dyDescent="0.2">
      <c r="A418" s="3">
        <v>40609</v>
      </c>
      <c r="B418" s="1">
        <v>5</v>
      </c>
      <c r="C418" s="22">
        <v>0.89400000000000002</v>
      </c>
      <c r="D418" s="36">
        <f t="shared" si="12"/>
        <v>4.47</v>
      </c>
    </row>
    <row r="419" spans="1:4" x14ac:dyDescent="0.2">
      <c r="A419" s="3">
        <v>40610</v>
      </c>
      <c r="B419" s="1">
        <v>1</v>
      </c>
      <c r="C419" s="22">
        <v>17.312899999999999</v>
      </c>
      <c r="D419" s="36">
        <f t="shared" si="12"/>
        <v>17.312899999999999</v>
      </c>
    </row>
    <row r="420" spans="1:4" x14ac:dyDescent="0.2">
      <c r="A420" s="3">
        <v>40611</v>
      </c>
      <c r="B420" s="1">
        <v>4</v>
      </c>
      <c r="C420" s="22">
        <v>7.992</v>
      </c>
      <c r="D420" s="36">
        <f t="shared" si="12"/>
        <v>31.968</v>
      </c>
    </row>
    <row r="421" spans="1:4" x14ac:dyDescent="0.2">
      <c r="A421" s="3">
        <v>40612</v>
      </c>
      <c r="B421" s="1">
        <v>1</v>
      </c>
      <c r="C421" s="22">
        <v>0.77039999999999997</v>
      </c>
      <c r="D421" s="36">
        <f t="shared" si="12"/>
        <v>0.77039999999999997</v>
      </c>
    </row>
    <row r="422" spans="1:4" x14ac:dyDescent="0.2">
      <c r="A422" s="3">
        <v>40613</v>
      </c>
      <c r="B422" s="1">
        <v>2</v>
      </c>
      <c r="C422" s="22">
        <v>0.54400000000000004</v>
      </c>
      <c r="D422" s="36">
        <f t="shared" si="12"/>
        <v>1.0880000000000001</v>
      </c>
    </row>
    <row r="423" spans="1:4" x14ac:dyDescent="0.2">
      <c r="A423" s="3">
        <v>40614</v>
      </c>
      <c r="B423" s="1">
        <v>6</v>
      </c>
      <c r="C423" s="22">
        <v>3</v>
      </c>
      <c r="D423" s="36">
        <f t="shared" si="12"/>
        <v>18</v>
      </c>
    </row>
    <row r="424" spans="1:4" x14ac:dyDescent="0.2">
      <c r="A424" s="3">
        <v>40615</v>
      </c>
      <c r="B424" s="1">
        <v>6</v>
      </c>
      <c r="C424" s="22">
        <v>0.91879999999999995</v>
      </c>
      <c r="D424" s="36">
        <f t="shared" si="12"/>
        <v>5.5127999999999995</v>
      </c>
    </row>
    <row r="425" spans="1:4" x14ac:dyDescent="0.2">
      <c r="A425" s="3">
        <v>40616</v>
      </c>
      <c r="B425" s="1">
        <v>8</v>
      </c>
      <c r="C425" s="22">
        <v>0.71779999999999999</v>
      </c>
      <c r="D425" s="36">
        <f t="shared" si="12"/>
        <v>5.7423999999999999</v>
      </c>
    </row>
    <row r="426" spans="1:4" x14ac:dyDescent="0.2">
      <c r="A426" s="3">
        <v>40617</v>
      </c>
      <c r="B426" s="1">
        <v>3</v>
      </c>
      <c r="C426" s="22">
        <v>1.0494000000000001</v>
      </c>
      <c r="D426" s="36">
        <f t="shared" si="12"/>
        <v>3.1482000000000001</v>
      </c>
    </row>
    <row r="427" spans="1:4" x14ac:dyDescent="0.2">
      <c r="A427" s="3">
        <v>40618</v>
      </c>
      <c r="B427" s="1">
        <v>6</v>
      </c>
      <c r="C427" s="22">
        <v>1.3980999999999999</v>
      </c>
      <c r="D427" s="36">
        <f t="shared" si="12"/>
        <v>8.3886000000000003</v>
      </c>
    </row>
    <row r="428" spans="1:4" x14ac:dyDescent="0.2">
      <c r="A428" s="3">
        <v>40619</v>
      </c>
      <c r="B428" s="1">
        <v>4</v>
      </c>
      <c r="C428" s="22">
        <v>0.378</v>
      </c>
      <c r="D428" s="36">
        <f t="shared" si="12"/>
        <v>1.512</v>
      </c>
    </row>
    <row r="429" spans="1:4" x14ac:dyDescent="0.2">
      <c r="A429" s="3">
        <v>40620</v>
      </c>
      <c r="B429" s="1">
        <v>6</v>
      </c>
      <c r="C429" s="22">
        <v>0.37240000000000001</v>
      </c>
      <c r="D429" s="36">
        <f t="shared" si="12"/>
        <v>2.2343999999999999</v>
      </c>
    </row>
    <row r="430" spans="1:4" x14ac:dyDescent="0.2">
      <c r="A430" s="3">
        <v>40621</v>
      </c>
      <c r="B430" s="1">
        <v>6</v>
      </c>
      <c r="C430" s="22">
        <v>0.36330000000000001</v>
      </c>
      <c r="D430" s="36">
        <f t="shared" si="12"/>
        <v>2.1798000000000002</v>
      </c>
    </row>
    <row r="431" spans="1:4" x14ac:dyDescent="0.2">
      <c r="A431" s="3">
        <v>40622</v>
      </c>
      <c r="B431" s="1">
        <v>7</v>
      </c>
      <c r="C431" s="22">
        <v>0.53700000000000003</v>
      </c>
      <c r="D431" s="36">
        <f t="shared" si="12"/>
        <v>3.7590000000000003</v>
      </c>
    </row>
    <row r="432" spans="1:4" x14ac:dyDescent="0.2">
      <c r="A432" s="3">
        <v>40623</v>
      </c>
      <c r="B432" s="1">
        <v>5</v>
      </c>
      <c r="C432" s="22">
        <v>0.57199999999999995</v>
      </c>
      <c r="D432" s="36">
        <f t="shared" si="12"/>
        <v>2.86</v>
      </c>
    </row>
    <row r="433" spans="1:4" x14ac:dyDescent="0.2">
      <c r="A433" s="3">
        <v>40624</v>
      </c>
      <c r="B433" s="1">
        <v>7</v>
      </c>
      <c r="C433" s="22">
        <v>1.5581</v>
      </c>
      <c r="D433" s="36">
        <f t="shared" si="12"/>
        <v>10.906700000000001</v>
      </c>
    </row>
    <row r="434" spans="1:4" x14ac:dyDescent="0.2">
      <c r="A434" s="3">
        <v>40625</v>
      </c>
      <c r="B434" s="1">
        <v>4</v>
      </c>
      <c r="C434" s="22">
        <v>0.4264</v>
      </c>
      <c r="D434" s="36">
        <f t="shared" si="12"/>
        <v>1.7056</v>
      </c>
    </row>
    <row r="435" spans="1:4" x14ac:dyDescent="0.2">
      <c r="A435" s="3">
        <v>40626</v>
      </c>
      <c r="B435" s="1">
        <v>6</v>
      </c>
      <c r="C435" s="22">
        <v>1.0874999999999999</v>
      </c>
      <c r="D435" s="36">
        <f t="shared" si="12"/>
        <v>6.5249999999999995</v>
      </c>
    </row>
    <row r="436" spans="1:4" x14ac:dyDescent="0.2">
      <c r="A436" s="3">
        <v>40627</v>
      </c>
      <c r="B436" s="1">
        <v>5</v>
      </c>
      <c r="C436" s="22">
        <v>1.2604</v>
      </c>
      <c r="D436" s="36">
        <f t="shared" si="12"/>
        <v>6.3019999999999996</v>
      </c>
    </row>
    <row r="437" spans="1:4" x14ac:dyDescent="0.2">
      <c r="A437" s="3">
        <v>40628</v>
      </c>
      <c r="B437" s="1">
        <v>3</v>
      </c>
      <c r="C437" s="22">
        <v>0.71289999999999998</v>
      </c>
      <c r="D437" s="36">
        <f t="shared" si="12"/>
        <v>2.1387</v>
      </c>
    </row>
    <row r="438" spans="1:4" x14ac:dyDescent="0.2">
      <c r="A438" s="3">
        <v>40629</v>
      </c>
      <c r="B438" s="1">
        <v>3</v>
      </c>
      <c r="C438" s="22">
        <v>1.1116999999999999</v>
      </c>
      <c r="D438" s="36">
        <f t="shared" si="12"/>
        <v>3.3350999999999997</v>
      </c>
    </row>
    <row r="439" spans="1:4" x14ac:dyDescent="0.2">
      <c r="A439" s="3">
        <v>40630</v>
      </c>
      <c r="B439" s="1">
        <v>2</v>
      </c>
      <c r="C439" s="22">
        <v>0.57420000000000004</v>
      </c>
      <c r="D439" s="36">
        <f t="shared" si="12"/>
        <v>1.1484000000000001</v>
      </c>
    </row>
    <row r="440" spans="1:4" x14ac:dyDescent="0.2">
      <c r="A440" s="3">
        <v>40631</v>
      </c>
      <c r="B440" s="1">
        <v>1</v>
      </c>
      <c r="C440" s="22">
        <v>0.54120000000000001</v>
      </c>
      <c r="D440" s="36">
        <f t="shared" si="12"/>
        <v>0.54120000000000001</v>
      </c>
    </row>
    <row r="441" spans="1:4" x14ac:dyDescent="0.2">
      <c r="A441" s="3">
        <v>40632</v>
      </c>
      <c r="B441" s="1">
        <v>10</v>
      </c>
      <c r="C441" s="22">
        <v>2.4863</v>
      </c>
      <c r="D441" s="36">
        <f t="shared" si="12"/>
        <v>24.863</v>
      </c>
    </row>
    <row r="442" spans="1:4" x14ac:dyDescent="0.2">
      <c r="A442" s="3">
        <v>40633</v>
      </c>
      <c r="B442" s="1">
        <v>2</v>
      </c>
      <c r="C442" s="22">
        <v>1.4291</v>
      </c>
      <c r="D442" s="36">
        <f t="shared" si="12"/>
        <v>2.8582000000000001</v>
      </c>
    </row>
    <row r="443" spans="1:4" x14ac:dyDescent="0.2">
      <c r="A443" s="3">
        <v>40634</v>
      </c>
      <c r="B443" s="1">
        <v>4</v>
      </c>
      <c r="C443" s="22">
        <v>0.52639999999999998</v>
      </c>
      <c r="D443" s="36">
        <f t="shared" si="12"/>
        <v>2.1055999999999999</v>
      </c>
    </row>
    <row r="444" spans="1:4" x14ac:dyDescent="0.2">
      <c r="A444" s="3">
        <v>40635</v>
      </c>
      <c r="B444" s="1">
        <v>1</v>
      </c>
      <c r="C444" s="22">
        <v>1.1908000000000001</v>
      </c>
      <c r="D444" s="36">
        <f t="shared" si="12"/>
        <v>1.1908000000000001</v>
      </c>
    </row>
    <row r="445" spans="1:4" x14ac:dyDescent="0.2">
      <c r="A445" s="3">
        <v>40636</v>
      </c>
      <c r="B445" s="1">
        <v>9</v>
      </c>
      <c r="C445" s="22">
        <v>0.62929999999999997</v>
      </c>
      <c r="D445" s="36">
        <f t="shared" si="12"/>
        <v>5.6636999999999995</v>
      </c>
    </row>
    <row r="446" spans="1:4" x14ac:dyDescent="0.2">
      <c r="A446" s="3">
        <v>40637</v>
      </c>
      <c r="B446" s="1">
        <v>5</v>
      </c>
      <c r="C446" s="22">
        <v>0.5484</v>
      </c>
      <c r="D446" s="36">
        <f t="shared" si="12"/>
        <v>2.742</v>
      </c>
    </row>
    <row r="447" spans="1:4" x14ac:dyDescent="0.2">
      <c r="A447" s="3">
        <v>40638</v>
      </c>
      <c r="B447" s="1">
        <v>4</v>
      </c>
      <c r="C447" s="22">
        <v>3.6737000000000002</v>
      </c>
      <c r="D447" s="36">
        <f t="shared" si="12"/>
        <v>14.694800000000001</v>
      </c>
    </row>
    <row r="448" spans="1:4" x14ac:dyDescent="0.2">
      <c r="A448" s="3">
        <v>40639</v>
      </c>
      <c r="B448" s="1">
        <v>5</v>
      </c>
      <c r="C448" s="22">
        <v>4.4690000000000003</v>
      </c>
      <c r="D448" s="36">
        <f t="shared" si="12"/>
        <v>22.345000000000002</v>
      </c>
    </row>
    <row r="449" spans="1:4" x14ac:dyDescent="0.2">
      <c r="A449" s="3">
        <v>40640</v>
      </c>
      <c r="B449" s="1">
        <v>3</v>
      </c>
      <c r="C449" s="22">
        <v>1.2082999999999999</v>
      </c>
      <c r="D449" s="36">
        <f t="shared" si="12"/>
        <v>3.6248999999999998</v>
      </c>
    </row>
    <row r="450" spans="1:4" x14ac:dyDescent="0.2">
      <c r="A450" s="3">
        <v>40641</v>
      </c>
      <c r="B450" s="1">
        <v>6</v>
      </c>
      <c r="C450" s="22">
        <v>0.34749999999999998</v>
      </c>
      <c r="D450" s="36">
        <f t="shared" si="12"/>
        <v>2.085</v>
      </c>
    </row>
    <row r="451" spans="1:4" x14ac:dyDescent="0.2">
      <c r="A451" s="3">
        <v>40642</v>
      </c>
      <c r="B451" s="1">
        <v>4</v>
      </c>
      <c r="C451" s="22">
        <v>3.6858</v>
      </c>
      <c r="D451" s="36">
        <f t="shared" si="12"/>
        <v>14.7432</v>
      </c>
    </row>
    <row r="452" spans="1:4" x14ac:dyDescent="0.2">
      <c r="A452" s="3">
        <v>40643</v>
      </c>
      <c r="B452" s="1">
        <v>2</v>
      </c>
      <c r="C452" s="22">
        <v>2.9775</v>
      </c>
      <c r="D452" s="36">
        <f t="shared" ref="D452:D515" si="13">B452*C452</f>
        <v>5.9550000000000001</v>
      </c>
    </row>
    <row r="453" spans="1:4" x14ac:dyDescent="0.2">
      <c r="A453" s="3">
        <v>40644</v>
      </c>
      <c r="B453" s="1">
        <v>5</v>
      </c>
      <c r="C453" s="22">
        <v>8.8099999999999998E-2</v>
      </c>
      <c r="D453" s="36">
        <f t="shared" si="13"/>
        <v>0.4405</v>
      </c>
    </row>
    <row r="454" spans="1:4" x14ac:dyDescent="0.2">
      <c r="A454" s="3">
        <v>40645</v>
      </c>
      <c r="B454" s="1">
        <v>7</v>
      </c>
      <c r="C454" s="22">
        <v>3.9512999999999998</v>
      </c>
      <c r="D454" s="36">
        <f t="shared" si="13"/>
        <v>27.659099999999999</v>
      </c>
    </row>
    <row r="455" spans="1:4" x14ac:dyDescent="0.2">
      <c r="A455" s="3">
        <v>40646</v>
      </c>
      <c r="B455" s="1">
        <v>5</v>
      </c>
      <c r="C455" s="22">
        <v>0.66590000000000005</v>
      </c>
      <c r="D455" s="36">
        <f t="shared" si="13"/>
        <v>3.3295000000000003</v>
      </c>
    </row>
    <row r="456" spans="1:4" x14ac:dyDescent="0.2">
      <c r="A456" s="3">
        <v>40647</v>
      </c>
      <c r="B456" s="1">
        <v>10</v>
      </c>
      <c r="C456" s="22">
        <v>2.4394</v>
      </c>
      <c r="D456" s="36">
        <f t="shared" si="13"/>
        <v>24.393999999999998</v>
      </c>
    </row>
    <row r="457" spans="1:4" x14ac:dyDescent="0.2">
      <c r="A457" s="3">
        <v>40648</v>
      </c>
      <c r="B457" s="1">
        <v>9</v>
      </c>
      <c r="C457" s="22">
        <v>5.0552999999999999</v>
      </c>
      <c r="D457" s="36">
        <f t="shared" si="13"/>
        <v>45.497700000000002</v>
      </c>
    </row>
    <row r="458" spans="1:4" x14ac:dyDescent="0.2">
      <c r="A458" s="3">
        <v>40649</v>
      </c>
      <c r="B458" s="1">
        <v>1</v>
      </c>
      <c r="C458" s="22">
        <v>0.9133</v>
      </c>
      <c r="D458" s="36">
        <f t="shared" si="13"/>
        <v>0.9133</v>
      </c>
    </row>
    <row r="459" spans="1:4" x14ac:dyDescent="0.2">
      <c r="A459" s="3">
        <v>40650</v>
      </c>
      <c r="B459" s="1">
        <v>1</v>
      </c>
      <c r="C459" s="22">
        <v>1.1836</v>
      </c>
      <c r="D459" s="36">
        <f t="shared" si="13"/>
        <v>1.1836</v>
      </c>
    </row>
    <row r="460" spans="1:4" x14ac:dyDescent="0.2">
      <c r="A460" s="3">
        <v>40651</v>
      </c>
      <c r="B460" s="1">
        <v>4</v>
      </c>
      <c r="C460" s="22">
        <v>0.43719999999999998</v>
      </c>
      <c r="D460" s="36">
        <f t="shared" si="13"/>
        <v>1.7487999999999999</v>
      </c>
    </row>
    <row r="461" spans="1:4" x14ac:dyDescent="0.2">
      <c r="A461" s="3">
        <v>40652</v>
      </c>
      <c r="B461" s="1">
        <v>4</v>
      </c>
      <c r="C461" s="22">
        <v>0.41320000000000001</v>
      </c>
      <c r="D461" s="36">
        <f t="shared" si="13"/>
        <v>1.6528</v>
      </c>
    </row>
    <row r="462" spans="1:4" x14ac:dyDescent="0.2">
      <c r="A462" s="3">
        <v>40653</v>
      </c>
      <c r="B462" s="1">
        <v>2</v>
      </c>
      <c r="C462" s="22">
        <v>1.1386000000000001</v>
      </c>
      <c r="D462" s="36">
        <f t="shared" si="13"/>
        <v>2.2772000000000001</v>
      </c>
    </row>
    <row r="463" spans="1:4" x14ac:dyDescent="0.2">
      <c r="A463" s="3">
        <v>40654</v>
      </c>
      <c r="B463" s="1">
        <v>5</v>
      </c>
      <c r="C463" s="22">
        <v>0.80689999999999995</v>
      </c>
      <c r="D463" s="36">
        <f t="shared" si="13"/>
        <v>4.0344999999999995</v>
      </c>
    </row>
    <row r="464" spans="1:4" x14ac:dyDescent="0.2">
      <c r="A464" s="3">
        <v>40655</v>
      </c>
      <c r="B464" s="1">
        <v>8</v>
      </c>
      <c r="C464" s="22">
        <v>1.1969000000000001</v>
      </c>
      <c r="D464" s="36">
        <f t="shared" si="13"/>
        <v>9.5752000000000006</v>
      </c>
    </row>
    <row r="465" spans="1:4" x14ac:dyDescent="0.2">
      <c r="A465" s="3">
        <v>40656</v>
      </c>
      <c r="B465" s="1">
        <v>3</v>
      </c>
      <c r="C465" s="22">
        <v>0.46479999999999999</v>
      </c>
      <c r="D465" s="36">
        <f t="shared" si="13"/>
        <v>1.3944000000000001</v>
      </c>
    </row>
    <row r="466" spans="1:4" x14ac:dyDescent="0.2">
      <c r="A466" s="3">
        <v>40657</v>
      </c>
      <c r="B466" s="1">
        <v>6</v>
      </c>
      <c r="C466" s="22">
        <v>0.38090000000000002</v>
      </c>
      <c r="D466" s="36">
        <f t="shared" si="13"/>
        <v>2.2854000000000001</v>
      </c>
    </row>
    <row r="467" spans="1:4" x14ac:dyDescent="0.2">
      <c r="A467" s="3">
        <v>40658</v>
      </c>
      <c r="B467" s="1">
        <v>4</v>
      </c>
      <c r="C467" s="22">
        <v>0.38779999999999998</v>
      </c>
      <c r="D467" s="36">
        <f t="shared" si="13"/>
        <v>1.5511999999999999</v>
      </c>
    </row>
    <row r="468" spans="1:4" x14ac:dyDescent="0.2">
      <c r="A468" s="3">
        <v>40659</v>
      </c>
      <c r="B468" s="1">
        <v>3</v>
      </c>
      <c r="C468" s="22">
        <v>2.8479999999999999</v>
      </c>
      <c r="D468" s="36">
        <f t="shared" si="13"/>
        <v>8.5440000000000005</v>
      </c>
    </row>
    <row r="469" spans="1:4" x14ac:dyDescent="0.2">
      <c r="A469" s="3">
        <v>40660</v>
      </c>
      <c r="B469" s="1">
        <v>10</v>
      </c>
      <c r="C469" s="22">
        <v>1.7004999999999999</v>
      </c>
      <c r="D469" s="36">
        <f t="shared" si="13"/>
        <v>17.004999999999999</v>
      </c>
    </row>
    <row r="470" spans="1:4" x14ac:dyDescent="0.2">
      <c r="A470" s="3">
        <v>40661</v>
      </c>
      <c r="B470" s="1">
        <v>2</v>
      </c>
      <c r="C470" s="22">
        <v>0.68230000000000002</v>
      </c>
      <c r="D470" s="36">
        <f t="shared" si="13"/>
        <v>1.3646</v>
      </c>
    </row>
    <row r="471" spans="1:4" x14ac:dyDescent="0.2">
      <c r="A471" s="3">
        <v>40662</v>
      </c>
      <c r="B471" s="1">
        <v>1</v>
      </c>
      <c r="C471" s="22">
        <v>4.5263999999999998</v>
      </c>
      <c r="D471" s="36">
        <f t="shared" si="13"/>
        <v>4.5263999999999998</v>
      </c>
    </row>
    <row r="472" spans="1:4" x14ac:dyDescent="0.2">
      <c r="A472" s="3">
        <v>40663</v>
      </c>
      <c r="B472" s="1">
        <v>5</v>
      </c>
      <c r="C472" s="22">
        <v>2.7778999999999998</v>
      </c>
      <c r="D472" s="36">
        <f t="shared" si="13"/>
        <v>13.889499999999998</v>
      </c>
    </row>
    <row r="473" spans="1:4" x14ac:dyDescent="0.2">
      <c r="A473" s="3">
        <v>40664</v>
      </c>
      <c r="B473" s="1">
        <v>5</v>
      </c>
      <c r="C473" s="22">
        <v>1.5502</v>
      </c>
      <c r="D473" s="36">
        <f t="shared" si="13"/>
        <v>7.7510000000000003</v>
      </c>
    </row>
    <row r="474" spans="1:4" x14ac:dyDescent="0.2">
      <c r="A474" s="3">
        <v>40665</v>
      </c>
      <c r="B474" s="1">
        <v>7</v>
      </c>
      <c r="C474" s="22">
        <v>1.7672000000000001</v>
      </c>
      <c r="D474" s="36">
        <f t="shared" si="13"/>
        <v>12.3704</v>
      </c>
    </row>
    <row r="475" spans="1:4" x14ac:dyDescent="0.2">
      <c r="A475" s="3">
        <v>40666</v>
      </c>
      <c r="B475" s="1">
        <v>5</v>
      </c>
      <c r="C475" s="22">
        <v>3.3855</v>
      </c>
      <c r="D475" s="36">
        <f t="shared" si="13"/>
        <v>16.927499999999998</v>
      </c>
    </row>
    <row r="476" spans="1:4" x14ac:dyDescent="0.2">
      <c r="A476" s="3">
        <v>40667</v>
      </c>
      <c r="B476" s="1">
        <v>6</v>
      </c>
      <c r="C476" s="22">
        <v>2.3635999999999999</v>
      </c>
      <c r="D476" s="36">
        <f t="shared" si="13"/>
        <v>14.1816</v>
      </c>
    </row>
    <row r="477" spans="1:4" x14ac:dyDescent="0.2">
      <c r="A477" s="3">
        <v>40668</v>
      </c>
      <c r="B477" s="1">
        <v>8</v>
      </c>
      <c r="C477" s="22">
        <v>1.5785</v>
      </c>
      <c r="D477" s="36">
        <f t="shared" si="13"/>
        <v>12.628</v>
      </c>
    </row>
    <row r="478" spans="1:4" x14ac:dyDescent="0.2">
      <c r="A478" s="3">
        <v>40669</v>
      </c>
      <c r="B478" s="1">
        <v>6</v>
      </c>
      <c r="C478" s="22">
        <v>0.84630000000000005</v>
      </c>
      <c r="D478" s="36">
        <f t="shared" si="13"/>
        <v>5.0777999999999999</v>
      </c>
    </row>
    <row r="479" spans="1:4" x14ac:dyDescent="0.2">
      <c r="A479" s="3">
        <v>40670</v>
      </c>
      <c r="B479" s="1">
        <v>2</v>
      </c>
      <c r="C479" s="22">
        <v>0.80569999999999997</v>
      </c>
      <c r="D479" s="36">
        <f t="shared" si="13"/>
        <v>1.6113999999999999</v>
      </c>
    </row>
    <row r="480" spans="1:4" x14ac:dyDescent="0.2">
      <c r="A480" s="3">
        <v>40671</v>
      </c>
      <c r="B480" s="1">
        <v>8</v>
      </c>
      <c r="C480" s="22">
        <v>0.18590000000000001</v>
      </c>
      <c r="D480" s="36">
        <f t="shared" si="13"/>
        <v>1.4872000000000001</v>
      </c>
    </row>
    <row r="481" spans="1:4" x14ac:dyDescent="0.2">
      <c r="A481" s="3">
        <v>40672</v>
      </c>
      <c r="B481" s="1">
        <v>5</v>
      </c>
      <c r="C481" s="22">
        <v>0.85460000000000003</v>
      </c>
      <c r="D481" s="36">
        <f t="shared" si="13"/>
        <v>4.2729999999999997</v>
      </c>
    </row>
    <row r="482" spans="1:4" x14ac:dyDescent="0.2">
      <c r="A482" s="3">
        <v>40673</v>
      </c>
      <c r="B482" s="1">
        <v>5</v>
      </c>
      <c r="C482" s="22">
        <v>2.4293</v>
      </c>
      <c r="D482" s="36">
        <f t="shared" si="13"/>
        <v>12.1465</v>
      </c>
    </row>
    <row r="483" spans="1:4" x14ac:dyDescent="0.2">
      <c r="A483" s="3">
        <v>40674</v>
      </c>
      <c r="B483" s="1">
        <v>5</v>
      </c>
      <c r="C483" s="22">
        <v>0.93120000000000003</v>
      </c>
      <c r="D483" s="36">
        <f t="shared" si="13"/>
        <v>4.6560000000000006</v>
      </c>
    </row>
    <row r="484" spans="1:4" x14ac:dyDescent="0.2">
      <c r="A484" s="3">
        <v>40675</v>
      </c>
      <c r="B484" s="1">
        <v>9</v>
      </c>
      <c r="C484" s="22">
        <v>1.0004</v>
      </c>
      <c r="D484" s="36">
        <f t="shared" si="13"/>
        <v>9.0035999999999987</v>
      </c>
    </row>
    <row r="485" spans="1:4" x14ac:dyDescent="0.2">
      <c r="A485" s="3">
        <v>40676</v>
      </c>
      <c r="B485" s="1">
        <v>1</v>
      </c>
      <c r="C485" s="22">
        <v>1.4567000000000001</v>
      </c>
      <c r="D485" s="36">
        <f t="shared" si="13"/>
        <v>1.4567000000000001</v>
      </c>
    </row>
    <row r="486" spans="1:4" x14ac:dyDescent="0.2">
      <c r="A486" s="3">
        <v>40677</v>
      </c>
      <c r="B486" s="1">
        <v>4</v>
      </c>
      <c r="C486" s="22">
        <v>0.58320000000000005</v>
      </c>
      <c r="D486" s="36">
        <f t="shared" si="13"/>
        <v>2.3328000000000002</v>
      </c>
    </row>
    <row r="487" spans="1:4" x14ac:dyDescent="0.2">
      <c r="A487" s="3">
        <v>40678</v>
      </c>
      <c r="B487" s="1">
        <v>5</v>
      </c>
      <c r="C487" s="22">
        <v>1.5417000000000001</v>
      </c>
      <c r="D487" s="36">
        <f t="shared" si="13"/>
        <v>7.7085000000000008</v>
      </c>
    </row>
    <row r="488" spans="1:4" x14ac:dyDescent="0.2">
      <c r="A488" s="3">
        <v>40679</v>
      </c>
      <c r="B488" s="1">
        <v>10</v>
      </c>
      <c r="C488" s="22">
        <v>0.3417</v>
      </c>
      <c r="D488" s="36">
        <f t="shared" si="13"/>
        <v>3.4169999999999998</v>
      </c>
    </row>
    <row r="489" spans="1:4" x14ac:dyDescent="0.2">
      <c r="A489" s="3">
        <v>40680</v>
      </c>
      <c r="B489" s="1">
        <v>11</v>
      </c>
      <c r="C489" s="22">
        <v>1.7661</v>
      </c>
      <c r="D489" s="36">
        <f t="shared" si="13"/>
        <v>19.427099999999999</v>
      </c>
    </row>
    <row r="490" spans="1:4" x14ac:dyDescent="0.2">
      <c r="A490" s="3">
        <v>40681</v>
      </c>
      <c r="B490" s="1">
        <v>1</v>
      </c>
      <c r="C490" s="22">
        <v>1.0434000000000001</v>
      </c>
      <c r="D490" s="36">
        <f t="shared" si="13"/>
        <v>1.0434000000000001</v>
      </c>
    </row>
    <row r="491" spans="1:4" x14ac:dyDescent="0.2">
      <c r="A491" s="3">
        <v>40682</v>
      </c>
      <c r="B491" s="1">
        <v>1</v>
      </c>
      <c r="C491" s="22">
        <v>0.88180000000000003</v>
      </c>
      <c r="D491" s="36">
        <f t="shared" si="13"/>
        <v>0.88180000000000003</v>
      </c>
    </row>
    <row r="492" spans="1:4" x14ac:dyDescent="0.2">
      <c r="A492" s="3">
        <v>40683</v>
      </c>
      <c r="B492" s="1">
        <v>7</v>
      </c>
      <c r="C492" s="22">
        <v>1.4204000000000001</v>
      </c>
      <c r="D492" s="36">
        <f t="shared" si="13"/>
        <v>9.9428000000000001</v>
      </c>
    </row>
    <row r="493" spans="1:4" x14ac:dyDescent="0.2">
      <c r="A493" s="3">
        <v>40684</v>
      </c>
      <c r="B493" s="1">
        <v>4</v>
      </c>
      <c r="C493" s="22">
        <v>2.0518999999999998</v>
      </c>
      <c r="D493" s="36">
        <f t="shared" si="13"/>
        <v>8.2075999999999993</v>
      </c>
    </row>
    <row r="494" spans="1:4" x14ac:dyDescent="0.2">
      <c r="A494" s="3">
        <v>40685</v>
      </c>
      <c r="B494" s="1">
        <v>5</v>
      </c>
      <c r="C494" s="22">
        <v>0.70179999999999998</v>
      </c>
      <c r="D494" s="36">
        <f t="shared" si="13"/>
        <v>3.5089999999999999</v>
      </c>
    </row>
    <row r="495" spans="1:4" x14ac:dyDescent="0.2">
      <c r="A495" s="3">
        <v>40686</v>
      </c>
      <c r="B495" s="1">
        <v>1</v>
      </c>
      <c r="C495" s="22">
        <v>1.1357999999999999</v>
      </c>
      <c r="D495" s="36">
        <f t="shared" si="13"/>
        <v>1.1357999999999999</v>
      </c>
    </row>
    <row r="496" spans="1:4" x14ac:dyDescent="0.2">
      <c r="A496" s="3">
        <v>40687</v>
      </c>
      <c r="B496" s="1">
        <v>6</v>
      </c>
      <c r="C496" s="22">
        <v>1.7105999999999999</v>
      </c>
      <c r="D496" s="36">
        <f t="shared" si="13"/>
        <v>10.2636</v>
      </c>
    </row>
    <row r="497" spans="1:4" x14ac:dyDescent="0.2">
      <c r="A497" s="3">
        <v>40688</v>
      </c>
      <c r="B497" s="1">
        <v>5</v>
      </c>
      <c r="C497" s="22">
        <v>4.6905999999999999</v>
      </c>
      <c r="D497" s="36">
        <f t="shared" si="13"/>
        <v>23.452999999999999</v>
      </c>
    </row>
    <row r="498" spans="1:4" x14ac:dyDescent="0.2">
      <c r="A498" s="3">
        <v>40689</v>
      </c>
      <c r="B498" s="1">
        <v>1</v>
      </c>
      <c r="C498" s="22">
        <v>0.59650000000000003</v>
      </c>
      <c r="D498" s="36">
        <f t="shared" si="13"/>
        <v>0.59650000000000003</v>
      </c>
    </row>
    <row r="499" spans="1:4" x14ac:dyDescent="0.2">
      <c r="A499" s="3">
        <v>40690</v>
      </c>
      <c r="B499" s="1">
        <v>2</v>
      </c>
      <c r="C499" s="22">
        <v>1.2382</v>
      </c>
      <c r="D499" s="36">
        <f t="shared" si="13"/>
        <v>2.4763999999999999</v>
      </c>
    </row>
    <row r="500" spans="1:4" x14ac:dyDescent="0.2">
      <c r="A500" s="3">
        <v>40691</v>
      </c>
      <c r="B500" s="1">
        <v>1</v>
      </c>
      <c r="C500" s="22">
        <v>1.3895999999999999</v>
      </c>
      <c r="D500" s="36">
        <f t="shared" si="13"/>
        <v>1.3895999999999999</v>
      </c>
    </row>
    <row r="501" spans="1:4" x14ac:dyDescent="0.2">
      <c r="A501" s="3">
        <v>40692</v>
      </c>
      <c r="B501" s="1">
        <v>4</v>
      </c>
      <c r="C501" s="22">
        <v>6.2186000000000003</v>
      </c>
      <c r="D501" s="36">
        <f t="shared" si="13"/>
        <v>24.874400000000001</v>
      </c>
    </row>
    <row r="502" spans="1:4" x14ac:dyDescent="0.2">
      <c r="A502" s="3">
        <v>40693</v>
      </c>
      <c r="B502" s="1">
        <v>5</v>
      </c>
      <c r="C502" s="22">
        <v>2.3491</v>
      </c>
      <c r="D502" s="36">
        <f t="shared" si="13"/>
        <v>11.7455</v>
      </c>
    </row>
    <row r="503" spans="1:4" x14ac:dyDescent="0.2">
      <c r="A503" s="3">
        <v>40694</v>
      </c>
      <c r="B503" s="1">
        <v>6</v>
      </c>
      <c r="C503" s="22">
        <v>0.4879</v>
      </c>
      <c r="D503" s="36">
        <f t="shared" si="13"/>
        <v>2.9274</v>
      </c>
    </row>
    <row r="504" spans="1:4" x14ac:dyDescent="0.2">
      <c r="A504" s="3">
        <v>40695</v>
      </c>
      <c r="B504" s="1">
        <v>11</v>
      </c>
      <c r="C504" s="22">
        <v>0.65539999999999998</v>
      </c>
      <c r="D504" s="36">
        <f t="shared" si="13"/>
        <v>7.2093999999999996</v>
      </c>
    </row>
    <row r="505" spans="1:4" x14ac:dyDescent="0.2">
      <c r="A505" s="3">
        <v>40696</v>
      </c>
      <c r="B505" s="1">
        <v>1</v>
      </c>
      <c r="C505" s="22">
        <v>2.3340000000000001</v>
      </c>
      <c r="D505" s="36">
        <f t="shared" si="13"/>
        <v>2.3340000000000001</v>
      </c>
    </row>
    <row r="506" spans="1:4" x14ac:dyDescent="0.2">
      <c r="A506" s="3">
        <v>40697</v>
      </c>
      <c r="B506" s="1">
        <v>1</v>
      </c>
      <c r="C506" s="22">
        <v>3.3976000000000002</v>
      </c>
      <c r="D506" s="36">
        <f t="shared" si="13"/>
        <v>3.3976000000000002</v>
      </c>
    </row>
    <row r="507" spans="1:4" x14ac:dyDescent="0.2">
      <c r="A507" s="3">
        <v>40698</v>
      </c>
      <c r="B507" s="1">
        <v>7</v>
      </c>
      <c r="C507" s="22">
        <v>1.5330999999999999</v>
      </c>
      <c r="D507" s="36">
        <f t="shared" si="13"/>
        <v>10.7317</v>
      </c>
    </row>
    <row r="508" spans="1:4" x14ac:dyDescent="0.2">
      <c r="A508" s="3">
        <v>40699</v>
      </c>
      <c r="B508" s="1">
        <v>1</v>
      </c>
      <c r="C508" s="22">
        <v>2.0087999999999999</v>
      </c>
      <c r="D508" s="36">
        <f t="shared" si="13"/>
        <v>2.0087999999999999</v>
      </c>
    </row>
    <row r="509" spans="1:4" x14ac:dyDescent="0.2">
      <c r="A509" s="3">
        <v>40700</v>
      </c>
      <c r="B509" s="1">
        <v>10</v>
      </c>
      <c r="C509" s="22">
        <v>0.68069999999999997</v>
      </c>
      <c r="D509" s="36">
        <f t="shared" si="13"/>
        <v>6.8069999999999995</v>
      </c>
    </row>
    <row r="510" spans="1:4" x14ac:dyDescent="0.2">
      <c r="A510" s="3">
        <v>40701</v>
      </c>
      <c r="B510" s="1">
        <v>1</v>
      </c>
      <c r="C510" s="22">
        <v>0.99160000000000004</v>
      </c>
      <c r="D510" s="36">
        <f t="shared" si="13"/>
        <v>0.99160000000000004</v>
      </c>
    </row>
    <row r="511" spans="1:4" x14ac:dyDescent="0.2">
      <c r="A511" s="3">
        <v>40702</v>
      </c>
      <c r="B511" s="1">
        <v>1</v>
      </c>
      <c r="C511" s="22">
        <v>1.3949</v>
      </c>
      <c r="D511" s="36">
        <f t="shared" si="13"/>
        <v>1.3949</v>
      </c>
    </row>
    <row r="512" spans="1:4" x14ac:dyDescent="0.2">
      <c r="A512" s="3">
        <v>40703</v>
      </c>
      <c r="B512" s="1">
        <v>4</v>
      </c>
      <c r="C512" s="22">
        <v>0.78320000000000001</v>
      </c>
      <c r="D512" s="36">
        <f t="shared" si="13"/>
        <v>3.1328</v>
      </c>
    </row>
    <row r="513" spans="1:4" x14ac:dyDescent="0.2">
      <c r="A513" s="3">
        <v>40704</v>
      </c>
      <c r="B513" s="1">
        <v>4</v>
      </c>
      <c r="C513" s="22">
        <v>0.91749999999999998</v>
      </c>
      <c r="D513" s="36">
        <f t="shared" si="13"/>
        <v>3.67</v>
      </c>
    </row>
    <row r="514" spans="1:4" x14ac:dyDescent="0.2">
      <c r="A514" s="3">
        <v>40705</v>
      </c>
      <c r="B514" s="1">
        <v>6</v>
      </c>
      <c r="C514" s="22">
        <v>0.1166</v>
      </c>
      <c r="D514" s="36">
        <f t="shared" si="13"/>
        <v>0.6996</v>
      </c>
    </row>
    <row r="515" spans="1:4" x14ac:dyDescent="0.2">
      <c r="A515" s="3">
        <v>40706</v>
      </c>
      <c r="B515" s="1">
        <v>4</v>
      </c>
      <c r="C515" s="22">
        <v>4.3672000000000004</v>
      </c>
      <c r="D515" s="36">
        <f t="shared" si="13"/>
        <v>17.468800000000002</v>
      </c>
    </row>
    <row r="516" spans="1:4" x14ac:dyDescent="0.2">
      <c r="A516" s="3">
        <v>40707</v>
      </c>
      <c r="B516" s="1">
        <v>1</v>
      </c>
      <c r="C516" s="22">
        <v>6.7309999999999999</v>
      </c>
      <c r="D516" s="36">
        <f t="shared" ref="D516:D579" si="14">B516*C516</f>
        <v>6.7309999999999999</v>
      </c>
    </row>
    <row r="517" spans="1:4" x14ac:dyDescent="0.2">
      <c r="A517" s="3">
        <v>40708</v>
      </c>
      <c r="B517" s="1">
        <v>8</v>
      </c>
      <c r="C517" s="22">
        <v>0.64990000000000003</v>
      </c>
      <c r="D517" s="36">
        <f t="shared" si="14"/>
        <v>5.1992000000000003</v>
      </c>
    </row>
    <row r="518" spans="1:4" x14ac:dyDescent="0.2">
      <c r="A518" s="3">
        <v>40709</v>
      </c>
      <c r="B518" s="1">
        <v>1</v>
      </c>
      <c r="C518" s="22">
        <v>3.4649999999999999</v>
      </c>
      <c r="D518" s="36">
        <f t="shared" si="14"/>
        <v>3.4649999999999999</v>
      </c>
    </row>
    <row r="519" spans="1:4" x14ac:dyDescent="0.2">
      <c r="A519" s="3">
        <v>40710</v>
      </c>
      <c r="B519" s="1">
        <v>6</v>
      </c>
      <c r="C519" s="22">
        <v>2.7275</v>
      </c>
      <c r="D519" s="36">
        <f t="shared" si="14"/>
        <v>16.365000000000002</v>
      </c>
    </row>
    <row r="520" spans="1:4" x14ac:dyDescent="0.2">
      <c r="A520" s="3">
        <v>40711</v>
      </c>
      <c r="B520" s="1">
        <v>9</v>
      </c>
      <c r="C520" s="22">
        <v>0.23469999999999999</v>
      </c>
      <c r="D520" s="36">
        <f t="shared" si="14"/>
        <v>2.1122999999999998</v>
      </c>
    </row>
    <row r="521" spans="1:4" x14ac:dyDescent="0.2">
      <c r="A521" s="3">
        <v>40712</v>
      </c>
      <c r="B521" s="1">
        <v>3</v>
      </c>
      <c r="C521" s="22">
        <v>0.32690000000000002</v>
      </c>
      <c r="D521" s="36">
        <f t="shared" si="14"/>
        <v>0.98070000000000013</v>
      </c>
    </row>
    <row r="522" spans="1:4" x14ac:dyDescent="0.2">
      <c r="A522" s="3">
        <v>40713</v>
      </c>
      <c r="B522" s="1">
        <v>3</v>
      </c>
      <c r="C522" s="22">
        <v>3.1280999999999999</v>
      </c>
      <c r="D522" s="36">
        <f t="shared" si="14"/>
        <v>9.3842999999999996</v>
      </c>
    </row>
    <row r="523" spans="1:4" x14ac:dyDescent="0.2">
      <c r="A523" s="3">
        <v>40714</v>
      </c>
      <c r="B523" s="1">
        <v>16</v>
      </c>
      <c r="C523" s="22">
        <v>3.9529999999999998</v>
      </c>
      <c r="D523" s="36">
        <f t="shared" si="14"/>
        <v>63.247999999999998</v>
      </c>
    </row>
    <row r="524" spans="1:4" x14ac:dyDescent="0.2">
      <c r="A524" s="3">
        <v>40715</v>
      </c>
      <c r="B524" s="1">
        <v>5</v>
      </c>
      <c r="C524" s="22">
        <v>6.1143000000000001</v>
      </c>
      <c r="D524" s="36">
        <f t="shared" si="14"/>
        <v>30.5715</v>
      </c>
    </row>
    <row r="525" spans="1:4" x14ac:dyDescent="0.2">
      <c r="A525" s="3">
        <v>40716</v>
      </c>
      <c r="B525" s="1">
        <v>2</v>
      </c>
      <c r="C525" s="22">
        <v>0.36559999999999998</v>
      </c>
      <c r="D525" s="36">
        <f t="shared" si="14"/>
        <v>0.73119999999999996</v>
      </c>
    </row>
    <row r="526" spans="1:4" x14ac:dyDescent="0.2">
      <c r="A526" s="3">
        <v>40717</v>
      </c>
      <c r="B526" s="1">
        <v>10</v>
      </c>
      <c r="C526" s="22">
        <v>3.9165000000000001</v>
      </c>
      <c r="D526" s="36">
        <f t="shared" si="14"/>
        <v>39.164999999999999</v>
      </c>
    </row>
    <row r="527" spans="1:4" x14ac:dyDescent="0.2">
      <c r="A527" s="3">
        <v>40718</v>
      </c>
      <c r="B527" s="1">
        <v>8</v>
      </c>
      <c r="C527" s="22">
        <v>3.3342999999999998</v>
      </c>
      <c r="D527" s="36">
        <f t="shared" si="14"/>
        <v>26.674399999999999</v>
      </c>
    </row>
    <row r="528" spans="1:4" x14ac:dyDescent="0.2">
      <c r="A528" s="3">
        <v>40719</v>
      </c>
      <c r="B528" s="1">
        <v>4</v>
      </c>
      <c r="C528" s="22">
        <v>1.0052000000000001</v>
      </c>
      <c r="D528" s="36">
        <f t="shared" si="14"/>
        <v>4.0208000000000004</v>
      </c>
    </row>
    <row r="529" spans="1:4" x14ac:dyDescent="0.2">
      <c r="A529" s="3">
        <v>40720</v>
      </c>
      <c r="B529" s="1">
        <v>3</v>
      </c>
      <c r="C529" s="22">
        <v>1.3629</v>
      </c>
      <c r="D529" s="36">
        <f t="shared" si="14"/>
        <v>4.0887000000000002</v>
      </c>
    </row>
    <row r="530" spans="1:4" x14ac:dyDescent="0.2">
      <c r="A530" s="3">
        <v>40721</v>
      </c>
      <c r="B530" s="1">
        <v>2</v>
      </c>
      <c r="C530" s="22">
        <v>0.57940000000000003</v>
      </c>
      <c r="D530" s="36">
        <f t="shared" si="14"/>
        <v>1.1588000000000001</v>
      </c>
    </row>
    <row r="531" spans="1:4" x14ac:dyDescent="0.2">
      <c r="A531" s="3">
        <v>40722</v>
      </c>
      <c r="B531" s="1">
        <v>5</v>
      </c>
      <c r="C531" s="22">
        <v>0.37869999999999998</v>
      </c>
      <c r="D531" s="36">
        <f t="shared" si="14"/>
        <v>1.8935</v>
      </c>
    </row>
    <row r="532" spans="1:4" x14ac:dyDescent="0.2">
      <c r="A532" s="3">
        <v>40723</v>
      </c>
      <c r="B532" s="1">
        <v>4</v>
      </c>
      <c r="C532" s="22">
        <v>2.2364999999999999</v>
      </c>
      <c r="D532" s="36">
        <f t="shared" si="14"/>
        <v>8.9459999999999997</v>
      </c>
    </row>
    <row r="533" spans="1:4" x14ac:dyDescent="0.2">
      <c r="A533" s="3">
        <v>40724</v>
      </c>
      <c r="B533" s="1">
        <v>4</v>
      </c>
      <c r="C533" s="22">
        <v>2.7751000000000001</v>
      </c>
      <c r="D533" s="36">
        <f t="shared" si="14"/>
        <v>11.1004</v>
      </c>
    </row>
    <row r="534" spans="1:4" x14ac:dyDescent="0.2">
      <c r="A534" s="3">
        <v>40725</v>
      </c>
      <c r="B534" s="1">
        <v>5</v>
      </c>
      <c r="C534" s="22">
        <v>1.7519</v>
      </c>
      <c r="D534" s="36">
        <f t="shared" si="14"/>
        <v>8.7594999999999992</v>
      </c>
    </row>
    <row r="535" spans="1:4" x14ac:dyDescent="0.2">
      <c r="A535" s="3">
        <v>40726</v>
      </c>
      <c r="B535" s="1">
        <v>3</v>
      </c>
      <c r="C535" s="22">
        <v>1.5981000000000001</v>
      </c>
      <c r="D535" s="36">
        <f t="shared" si="14"/>
        <v>4.7942999999999998</v>
      </c>
    </row>
    <row r="536" spans="1:4" x14ac:dyDescent="0.2">
      <c r="A536" s="3">
        <v>40727</v>
      </c>
      <c r="B536" s="1">
        <v>2</v>
      </c>
      <c r="C536" s="22">
        <v>0.88770000000000004</v>
      </c>
      <c r="D536" s="36">
        <f t="shared" si="14"/>
        <v>1.7754000000000001</v>
      </c>
    </row>
    <row r="537" spans="1:4" x14ac:dyDescent="0.2">
      <c r="A537" s="3">
        <v>40728</v>
      </c>
      <c r="B537" s="1">
        <v>2</v>
      </c>
      <c r="C537" s="22">
        <v>0.39929999999999999</v>
      </c>
      <c r="D537" s="36">
        <f t="shared" si="14"/>
        <v>0.79859999999999998</v>
      </c>
    </row>
    <row r="538" spans="1:4" x14ac:dyDescent="0.2">
      <c r="A538" s="3">
        <v>40729</v>
      </c>
      <c r="B538" s="1">
        <v>9</v>
      </c>
      <c r="C538" s="22">
        <v>1.2496</v>
      </c>
      <c r="D538" s="36">
        <f t="shared" si="14"/>
        <v>11.246400000000001</v>
      </c>
    </row>
    <row r="539" spans="1:4" x14ac:dyDescent="0.2">
      <c r="A539" s="3">
        <v>40730</v>
      </c>
      <c r="B539" s="1">
        <v>2</v>
      </c>
      <c r="C539" s="22">
        <v>1.7636000000000001</v>
      </c>
      <c r="D539" s="36">
        <f t="shared" si="14"/>
        <v>3.5272000000000001</v>
      </c>
    </row>
    <row r="540" spans="1:4" x14ac:dyDescent="0.2">
      <c r="A540" s="3">
        <v>40731</v>
      </c>
      <c r="B540" s="1">
        <v>5</v>
      </c>
      <c r="C540" s="22">
        <v>1.0701000000000001</v>
      </c>
      <c r="D540" s="36">
        <f t="shared" si="14"/>
        <v>5.3505000000000003</v>
      </c>
    </row>
    <row r="541" spans="1:4" x14ac:dyDescent="0.2">
      <c r="A541" s="3">
        <v>40732</v>
      </c>
      <c r="B541" s="1">
        <v>11</v>
      </c>
      <c r="C541" s="22">
        <v>0.9355</v>
      </c>
      <c r="D541" s="36">
        <f t="shared" si="14"/>
        <v>10.2905</v>
      </c>
    </row>
    <row r="542" spans="1:4" x14ac:dyDescent="0.2">
      <c r="A542" s="3">
        <v>40733</v>
      </c>
      <c r="B542" s="1">
        <v>1</v>
      </c>
      <c r="C542" s="22">
        <v>0.34849999999999998</v>
      </c>
      <c r="D542" s="36">
        <f t="shared" si="14"/>
        <v>0.34849999999999998</v>
      </c>
    </row>
    <row r="543" spans="1:4" x14ac:dyDescent="0.2">
      <c r="A543" s="3">
        <v>40734</v>
      </c>
      <c r="B543" s="1">
        <v>6</v>
      </c>
      <c r="C543" s="22">
        <v>0.38729999999999998</v>
      </c>
      <c r="D543" s="36">
        <f t="shared" si="14"/>
        <v>2.3237999999999999</v>
      </c>
    </row>
    <row r="544" spans="1:4" x14ac:dyDescent="0.2">
      <c r="A544" s="3">
        <v>40735</v>
      </c>
      <c r="B544" s="1">
        <v>2</v>
      </c>
      <c r="C544" s="22">
        <v>3.0644999999999998</v>
      </c>
      <c r="D544" s="36">
        <f t="shared" si="14"/>
        <v>6.1289999999999996</v>
      </c>
    </row>
    <row r="545" spans="1:4" x14ac:dyDescent="0.2">
      <c r="A545" s="3">
        <v>40736</v>
      </c>
      <c r="B545" s="1">
        <v>3</v>
      </c>
      <c r="C545" s="22">
        <v>0.46750000000000003</v>
      </c>
      <c r="D545" s="36">
        <f t="shared" si="14"/>
        <v>1.4025000000000001</v>
      </c>
    </row>
    <row r="546" spans="1:4" x14ac:dyDescent="0.2">
      <c r="A546" s="3">
        <v>40737</v>
      </c>
      <c r="B546" s="1">
        <v>10</v>
      </c>
      <c r="C546" s="22">
        <v>4.4854000000000003</v>
      </c>
      <c r="D546" s="36">
        <f t="shared" si="14"/>
        <v>44.853999999999999</v>
      </c>
    </row>
    <row r="547" spans="1:4" x14ac:dyDescent="0.2">
      <c r="A547" s="3">
        <v>40738</v>
      </c>
      <c r="B547" s="1">
        <v>8</v>
      </c>
      <c r="C547" s="22">
        <v>1.6003000000000001</v>
      </c>
      <c r="D547" s="36">
        <f t="shared" si="14"/>
        <v>12.8024</v>
      </c>
    </row>
    <row r="548" spans="1:4" x14ac:dyDescent="0.2">
      <c r="A548" s="3">
        <v>40739</v>
      </c>
      <c r="B548" s="1">
        <v>1</v>
      </c>
      <c r="C548" s="22">
        <v>5.0115999999999996</v>
      </c>
      <c r="D548" s="36">
        <f t="shared" si="14"/>
        <v>5.0115999999999996</v>
      </c>
    </row>
    <row r="549" spans="1:4" x14ac:dyDescent="0.2">
      <c r="A549" s="3">
        <v>40740</v>
      </c>
      <c r="B549" s="1">
        <v>7</v>
      </c>
      <c r="C549" s="22">
        <v>0.14080000000000001</v>
      </c>
      <c r="D549" s="36">
        <f t="shared" si="14"/>
        <v>0.98560000000000003</v>
      </c>
    </row>
    <row r="550" spans="1:4" x14ac:dyDescent="0.2">
      <c r="A550" s="3">
        <v>40741</v>
      </c>
      <c r="B550" s="1">
        <v>7</v>
      </c>
      <c r="C550" s="22">
        <v>1.1443000000000001</v>
      </c>
      <c r="D550" s="36">
        <f t="shared" si="14"/>
        <v>8.0101000000000013</v>
      </c>
    </row>
    <row r="551" spans="1:4" x14ac:dyDescent="0.2">
      <c r="A551" s="3">
        <v>40742</v>
      </c>
      <c r="B551" s="1">
        <v>12</v>
      </c>
      <c r="C551" s="22">
        <v>0.46820000000000001</v>
      </c>
      <c r="D551" s="36">
        <f t="shared" si="14"/>
        <v>5.6184000000000003</v>
      </c>
    </row>
    <row r="552" spans="1:4" x14ac:dyDescent="0.2">
      <c r="A552" s="3">
        <v>40743</v>
      </c>
      <c r="B552" s="1">
        <v>5</v>
      </c>
      <c r="C552" s="22">
        <v>2.9618000000000002</v>
      </c>
      <c r="D552" s="36">
        <f t="shared" si="14"/>
        <v>14.809000000000001</v>
      </c>
    </row>
    <row r="553" spans="1:4" x14ac:dyDescent="0.2">
      <c r="A553" s="3">
        <v>40744</v>
      </c>
      <c r="B553" s="1">
        <v>4</v>
      </c>
      <c r="C553" s="22">
        <v>6.8882000000000003</v>
      </c>
      <c r="D553" s="36">
        <f t="shared" si="14"/>
        <v>27.552800000000001</v>
      </c>
    </row>
    <row r="554" spans="1:4" x14ac:dyDescent="0.2">
      <c r="A554" s="3">
        <v>40745</v>
      </c>
      <c r="B554" s="1">
        <v>1</v>
      </c>
      <c r="C554" s="22">
        <v>2.7267000000000001</v>
      </c>
      <c r="D554" s="36">
        <f t="shared" si="14"/>
        <v>2.7267000000000001</v>
      </c>
    </row>
    <row r="555" spans="1:4" x14ac:dyDescent="0.2">
      <c r="A555" s="3">
        <v>40746</v>
      </c>
      <c r="B555" s="1">
        <v>3</v>
      </c>
      <c r="C555" s="22">
        <v>1.0021</v>
      </c>
      <c r="D555" s="36">
        <f t="shared" si="14"/>
        <v>3.0063</v>
      </c>
    </row>
    <row r="556" spans="1:4" x14ac:dyDescent="0.2">
      <c r="A556" s="3">
        <v>40747</v>
      </c>
      <c r="B556" s="1">
        <v>10</v>
      </c>
      <c r="C556" s="22">
        <v>0.56169999999999998</v>
      </c>
      <c r="D556" s="36">
        <f t="shared" si="14"/>
        <v>5.617</v>
      </c>
    </row>
    <row r="557" spans="1:4" x14ac:dyDescent="0.2">
      <c r="A557" s="3">
        <v>40748</v>
      </c>
      <c r="B557" s="1">
        <v>3</v>
      </c>
      <c r="C557" s="22">
        <v>0.1633</v>
      </c>
      <c r="D557" s="36">
        <f t="shared" si="14"/>
        <v>0.4899</v>
      </c>
    </row>
    <row r="558" spans="1:4" x14ac:dyDescent="0.2">
      <c r="A558" s="3">
        <v>40749</v>
      </c>
      <c r="B558" s="1">
        <v>1</v>
      </c>
      <c r="C558" s="22">
        <v>8.7116000000000007</v>
      </c>
      <c r="D558" s="36">
        <f t="shared" si="14"/>
        <v>8.7116000000000007</v>
      </c>
    </row>
    <row r="559" spans="1:4" x14ac:dyDescent="0.2">
      <c r="A559" s="3">
        <v>40750</v>
      </c>
      <c r="B559" s="1">
        <v>2</v>
      </c>
      <c r="C559" s="22">
        <v>4.3604000000000003</v>
      </c>
      <c r="D559" s="36">
        <f t="shared" si="14"/>
        <v>8.7208000000000006</v>
      </c>
    </row>
    <row r="560" spans="1:4" x14ac:dyDescent="0.2">
      <c r="A560" s="3">
        <v>40751</v>
      </c>
      <c r="B560" s="1">
        <v>6</v>
      </c>
      <c r="C560" s="22">
        <v>0.96360000000000001</v>
      </c>
      <c r="D560" s="36">
        <f t="shared" si="14"/>
        <v>5.7816000000000001</v>
      </c>
    </row>
    <row r="561" spans="1:4" x14ac:dyDescent="0.2">
      <c r="A561" s="3">
        <v>40752</v>
      </c>
      <c r="B561" s="1">
        <v>4</v>
      </c>
      <c r="C561" s="22">
        <v>1.5516000000000001</v>
      </c>
      <c r="D561" s="36">
        <f t="shared" si="14"/>
        <v>6.2064000000000004</v>
      </c>
    </row>
    <row r="562" spans="1:4" x14ac:dyDescent="0.2">
      <c r="A562" s="3">
        <v>40753</v>
      </c>
      <c r="B562" s="1">
        <v>7</v>
      </c>
      <c r="C562" s="22">
        <v>0.46689999999999998</v>
      </c>
      <c r="D562" s="36">
        <f t="shared" si="14"/>
        <v>3.2683</v>
      </c>
    </row>
    <row r="563" spans="1:4" x14ac:dyDescent="0.2">
      <c r="A563" s="3">
        <v>40754</v>
      </c>
      <c r="B563" s="1">
        <v>6</v>
      </c>
      <c r="C563" s="22">
        <v>0.59450000000000003</v>
      </c>
      <c r="D563" s="36">
        <f t="shared" si="14"/>
        <v>3.5670000000000002</v>
      </c>
    </row>
    <row r="564" spans="1:4" x14ac:dyDescent="0.2">
      <c r="A564" s="3">
        <v>40755</v>
      </c>
      <c r="B564" s="1">
        <v>5</v>
      </c>
      <c r="C564" s="22">
        <v>1.7294</v>
      </c>
      <c r="D564" s="36">
        <f t="shared" si="14"/>
        <v>8.6470000000000002</v>
      </c>
    </row>
    <row r="565" spans="1:4" x14ac:dyDescent="0.2">
      <c r="A565" s="3">
        <v>40756</v>
      </c>
      <c r="B565" s="1">
        <v>9</v>
      </c>
      <c r="C565" s="22">
        <v>4.4385000000000003</v>
      </c>
      <c r="D565" s="36">
        <f t="shared" si="14"/>
        <v>39.9465</v>
      </c>
    </row>
    <row r="566" spans="1:4" x14ac:dyDescent="0.2">
      <c r="A566" s="3">
        <v>40757</v>
      </c>
      <c r="B566" s="1">
        <v>9</v>
      </c>
      <c r="C566" s="22">
        <v>1.6637</v>
      </c>
      <c r="D566" s="36">
        <f t="shared" si="14"/>
        <v>14.9733</v>
      </c>
    </row>
    <row r="567" spans="1:4" x14ac:dyDescent="0.2">
      <c r="A567" s="3">
        <v>40758</v>
      </c>
      <c r="B567" s="1">
        <v>2</v>
      </c>
      <c r="C567" s="22">
        <v>7.0404</v>
      </c>
      <c r="D567" s="36">
        <f t="shared" si="14"/>
        <v>14.0808</v>
      </c>
    </row>
    <row r="568" spans="1:4" x14ac:dyDescent="0.2">
      <c r="A568" s="3">
        <v>40759</v>
      </c>
      <c r="B568" s="1">
        <v>7</v>
      </c>
      <c r="C568" s="22">
        <v>1.9851000000000001</v>
      </c>
      <c r="D568" s="36">
        <f t="shared" si="14"/>
        <v>13.895700000000001</v>
      </c>
    </row>
    <row r="569" spans="1:4" x14ac:dyDescent="0.2">
      <c r="A569" s="3">
        <v>40760</v>
      </c>
      <c r="B569" s="1">
        <v>2</v>
      </c>
      <c r="C569" s="22">
        <v>0.48220000000000002</v>
      </c>
      <c r="D569" s="36">
        <f t="shared" si="14"/>
        <v>0.96440000000000003</v>
      </c>
    </row>
    <row r="570" spans="1:4" x14ac:dyDescent="0.2">
      <c r="A570" s="3">
        <v>40761</v>
      </c>
      <c r="B570" s="1">
        <v>1</v>
      </c>
      <c r="C570" s="22">
        <v>0.48509999999999998</v>
      </c>
      <c r="D570" s="36">
        <f t="shared" si="14"/>
        <v>0.48509999999999998</v>
      </c>
    </row>
    <row r="571" spans="1:4" x14ac:dyDescent="0.2">
      <c r="A571" s="3">
        <v>40762</v>
      </c>
      <c r="B571" s="1">
        <v>1</v>
      </c>
      <c r="C571" s="22">
        <v>2.2058</v>
      </c>
      <c r="D571" s="36">
        <f t="shared" si="14"/>
        <v>2.2058</v>
      </c>
    </row>
    <row r="572" spans="1:4" x14ac:dyDescent="0.2">
      <c r="A572" s="3">
        <v>40763</v>
      </c>
      <c r="B572" s="1">
        <v>4</v>
      </c>
      <c r="C572" s="22">
        <v>0.31030000000000002</v>
      </c>
      <c r="D572" s="36">
        <f t="shared" si="14"/>
        <v>1.2412000000000001</v>
      </c>
    </row>
    <row r="573" spans="1:4" x14ac:dyDescent="0.2">
      <c r="A573" s="3">
        <v>40764</v>
      </c>
      <c r="B573" s="1">
        <v>4</v>
      </c>
      <c r="C573" s="22">
        <v>1.6414</v>
      </c>
      <c r="D573" s="36">
        <f t="shared" si="14"/>
        <v>6.5655999999999999</v>
      </c>
    </row>
    <row r="574" spans="1:4" x14ac:dyDescent="0.2">
      <c r="A574" s="3">
        <v>40765</v>
      </c>
      <c r="B574" s="1">
        <v>9</v>
      </c>
      <c r="C574" s="22">
        <v>0.55989999999999995</v>
      </c>
      <c r="D574" s="36">
        <f t="shared" si="14"/>
        <v>5.0390999999999995</v>
      </c>
    </row>
    <row r="575" spans="1:4" x14ac:dyDescent="0.2">
      <c r="A575" s="3">
        <v>40766</v>
      </c>
      <c r="B575" s="1">
        <v>4</v>
      </c>
      <c r="C575" s="22">
        <v>8.2860999999999994</v>
      </c>
      <c r="D575" s="36">
        <f t="shared" si="14"/>
        <v>33.144399999999997</v>
      </c>
    </row>
    <row r="576" spans="1:4" x14ac:dyDescent="0.2">
      <c r="A576" s="3">
        <v>40767</v>
      </c>
      <c r="B576" s="1">
        <v>3</v>
      </c>
      <c r="C576" s="22">
        <v>1.3337000000000001</v>
      </c>
      <c r="D576" s="36">
        <f t="shared" si="14"/>
        <v>4.0011000000000001</v>
      </c>
    </row>
    <row r="577" spans="1:4" x14ac:dyDescent="0.2">
      <c r="A577" s="3">
        <v>40768</v>
      </c>
      <c r="B577" s="1">
        <v>7</v>
      </c>
      <c r="C577" s="22">
        <v>1.7346999999999999</v>
      </c>
      <c r="D577" s="36">
        <f t="shared" si="14"/>
        <v>12.142899999999999</v>
      </c>
    </row>
    <row r="578" spans="1:4" x14ac:dyDescent="0.2">
      <c r="A578" s="3">
        <v>40769</v>
      </c>
      <c r="B578" s="1">
        <v>1</v>
      </c>
      <c r="C578" s="22">
        <v>0.1888</v>
      </c>
      <c r="D578" s="36">
        <f t="shared" si="14"/>
        <v>0.1888</v>
      </c>
    </row>
    <row r="579" spans="1:4" x14ac:dyDescent="0.2">
      <c r="A579" s="3">
        <v>40770</v>
      </c>
      <c r="B579" s="1">
        <v>3</v>
      </c>
      <c r="C579" s="22">
        <v>0.56059999999999999</v>
      </c>
      <c r="D579" s="36">
        <f t="shared" si="14"/>
        <v>1.6818</v>
      </c>
    </row>
    <row r="580" spans="1:4" x14ac:dyDescent="0.2">
      <c r="A580" s="3">
        <v>40771</v>
      </c>
      <c r="B580" s="1">
        <v>7</v>
      </c>
      <c r="C580" s="22">
        <v>0.52410000000000001</v>
      </c>
      <c r="D580" s="36">
        <f t="shared" ref="D580:D643" si="15">B580*C580</f>
        <v>3.6687000000000003</v>
      </c>
    </row>
    <row r="581" spans="1:4" x14ac:dyDescent="0.2">
      <c r="A581" s="3">
        <v>40772</v>
      </c>
      <c r="B581" s="1">
        <v>2</v>
      </c>
      <c r="C581" s="22">
        <v>2.7113999999999998</v>
      </c>
      <c r="D581" s="36">
        <f t="shared" si="15"/>
        <v>5.4227999999999996</v>
      </c>
    </row>
    <row r="582" spans="1:4" x14ac:dyDescent="0.2">
      <c r="A582" s="3">
        <v>40773</v>
      </c>
      <c r="B582" s="1">
        <v>1</v>
      </c>
      <c r="C582" s="22">
        <v>4.3090000000000002</v>
      </c>
      <c r="D582" s="36">
        <f t="shared" si="15"/>
        <v>4.3090000000000002</v>
      </c>
    </row>
    <row r="583" spans="1:4" x14ac:dyDescent="0.2">
      <c r="A583" s="3">
        <v>40774</v>
      </c>
      <c r="B583" s="1">
        <v>1</v>
      </c>
      <c r="C583" s="22">
        <v>1.0941000000000001</v>
      </c>
      <c r="D583" s="36">
        <f t="shared" si="15"/>
        <v>1.0941000000000001</v>
      </c>
    </row>
    <row r="584" spans="1:4" x14ac:dyDescent="0.2">
      <c r="A584" s="3">
        <v>40775</v>
      </c>
      <c r="B584" s="1">
        <v>1</v>
      </c>
      <c r="C584" s="22">
        <v>1.7437</v>
      </c>
      <c r="D584" s="36">
        <f t="shared" si="15"/>
        <v>1.7437</v>
      </c>
    </row>
    <row r="585" spans="1:4" x14ac:dyDescent="0.2">
      <c r="A585" s="3">
        <v>40776</v>
      </c>
      <c r="B585" s="1">
        <v>11</v>
      </c>
      <c r="C585" s="22">
        <v>1.1298999999999999</v>
      </c>
      <c r="D585" s="36">
        <f t="shared" si="15"/>
        <v>12.428899999999999</v>
      </c>
    </row>
    <row r="586" spans="1:4" x14ac:dyDescent="0.2">
      <c r="A586" s="3">
        <v>40777</v>
      </c>
      <c r="B586" s="1">
        <v>10</v>
      </c>
      <c r="C586" s="22">
        <v>1.2278</v>
      </c>
      <c r="D586" s="36">
        <f t="shared" si="15"/>
        <v>12.278</v>
      </c>
    </row>
    <row r="587" spans="1:4" x14ac:dyDescent="0.2">
      <c r="A587" s="3">
        <v>40778</v>
      </c>
      <c r="B587" s="1">
        <v>5</v>
      </c>
      <c r="C587" s="22">
        <v>0.71150000000000002</v>
      </c>
      <c r="D587" s="36">
        <f t="shared" si="15"/>
        <v>3.5575000000000001</v>
      </c>
    </row>
    <row r="588" spans="1:4" x14ac:dyDescent="0.2">
      <c r="A588" s="3">
        <v>40779</v>
      </c>
      <c r="B588" s="1">
        <v>4</v>
      </c>
      <c r="C588" s="22">
        <v>0.45739999999999997</v>
      </c>
      <c r="D588" s="36">
        <f t="shared" si="15"/>
        <v>1.8295999999999999</v>
      </c>
    </row>
    <row r="589" spans="1:4" x14ac:dyDescent="0.2">
      <c r="A589" s="3">
        <v>40780</v>
      </c>
      <c r="B589" s="1">
        <v>3</v>
      </c>
      <c r="C589" s="22">
        <v>1.7647999999999999</v>
      </c>
      <c r="D589" s="36">
        <f t="shared" si="15"/>
        <v>5.2943999999999996</v>
      </c>
    </row>
    <row r="590" spans="1:4" x14ac:dyDescent="0.2">
      <c r="A590" s="3">
        <v>40781</v>
      </c>
      <c r="B590" s="1">
        <v>1</v>
      </c>
      <c r="C590" s="22">
        <v>2.1497000000000002</v>
      </c>
      <c r="D590" s="36">
        <f t="shared" si="15"/>
        <v>2.1497000000000002</v>
      </c>
    </row>
    <row r="591" spans="1:4" x14ac:dyDescent="0.2">
      <c r="A591" s="3">
        <v>40782</v>
      </c>
      <c r="B591" s="1">
        <v>7</v>
      </c>
      <c r="C591" s="22">
        <v>2.6644999999999999</v>
      </c>
      <c r="D591" s="36">
        <f t="shared" si="15"/>
        <v>18.651499999999999</v>
      </c>
    </row>
    <row r="592" spans="1:4" x14ac:dyDescent="0.2">
      <c r="A592" s="3">
        <v>40783</v>
      </c>
      <c r="B592" s="1">
        <v>8</v>
      </c>
      <c r="C592" s="22">
        <v>1.8201000000000001</v>
      </c>
      <c r="D592" s="36">
        <f t="shared" si="15"/>
        <v>14.5608</v>
      </c>
    </row>
    <row r="593" spans="1:4" x14ac:dyDescent="0.2">
      <c r="A593" s="3">
        <v>40784</v>
      </c>
      <c r="B593" s="1">
        <v>8</v>
      </c>
      <c r="C593" s="22">
        <v>3.2271999999999998</v>
      </c>
      <c r="D593" s="36">
        <f t="shared" si="15"/>
        <v>25.817599999999999</v>
      </c>
    </row>
    <row r="594" spans="1:4" x14ac:dyDescent="0.2">
      <c r="A594" s="3">
        <v>40785</v>
      </c>
      <c r="B594" s="1">
        <v>4</v>
      </c>
      <c r="C594" s="22">
        <v>0.76270000000000004</v>
      </c>
      <c r="D594" s="36">
        <f t="shared" si="15"/>
        <v>3.0508000000000002</v>
      </c>
    </row>
    <row r="595" spans="1:4" x14ac:dyDescent="0.2">
      <c r="A595" s="3">
        <v>40786</v>
      </c>
      <c r="B595" s="1">
        <v>1</v>
      </c>
      <c r="C595" s="22">
        <v>0.87649999999999995</v>
      </c>
      <c r="D595" s="36">
        <f t="shared" si="15"/>
        <v>0.87649999999999995</v>
      </c>
    </row>
    <row r="596" spans="1:4" x14ac:dyDescent="0.2">
      <c r="A596" s="3">
        <v>40787</v>
      </c>
      <c r="B596" s="1">
        <v>5</v>
      </c>
      <c r="C596" s="22">
        <v>1.2157</v>
      </c>
      <c r="D596" s="36">
        <f t="shared" si="15"/>
        <v>6.0785</v>
      </c>
    </row>
    <row r="597" spans="1:4" x14ac:dyDescent="0.2">
      <c r="A597" s="3">
        <v>40788</v>
      </c>
      <c r="B597" s="1">
        <v>6</v>
      </c>
      <c r="C597" s="22">
        <v>1.2935000000000001</v>
      </c>
      <c r="D597" s="36">
        <f t="shared" si="15"/>
        <v>7.761000000000001</v>
      </c>
    </row>
    <row r="598" spans="1:4" x14ac:dyDescent="0.2">
      <c r="A598" s="3">
        <v>40789</v>
      </c>
      <c r="B598" s="1">
        <v>1</v>
      </c>
      <c r="C598" s="22">
        <v>1.3613</v>
      </c>
      <c r="D598" s="36">
        <f t="shared" si="15"/>
        <v>1.3613</v>
      </c>
    </row>
    <row r="599" spans="1:4" x14ac:dyDescent="0.2">
      <c r="A599" s="3">
        <v>40790</v>
      </c>
      <c r="B599" s="1">
        <v>3</v>
      </c>
      <c r="C599" s="22">
        <v>0.32950000000000002</v>
      </c>
      <c r="D599" s="36">
        <f t="shared" si="15"/>
        <v>0.98850000000000005</v>
      </c>
    </row>
    <row r="600" spans="1:4" x14ac:dyDescent="0.2">
      <c r="A600" s="3">
        <v>40791</v>
      </c>
      <c r="B600" s="1">
        <v>1</v>
      </c>
      <c r="C600" s="22">
        <v>0.64939999999999998</v>
      </c>
      <c r="D600" s="36">
        <f t="shared" si="15"/>
        <v>0.64939999999999998</v>
      </c>
    </row>
    <row r="601" spans="1:4" x14ac:dyDescent="0.2">
      <c r="A601" s="3">
        <v>40792</v>
      </c>
      <c r="B601" s="1">
        <v>4</v>
      </c>
      <c r="C601" s="22">
        <v>1.212</v>
      </c>
      <c r="D601" s="36">
        <f t="shared" si="15"/>
        <v>4.8479999999999999</v>
      </c>
    </row>
    <row r="602" spans="1:4" x14ac:dyDescent="0.2">
      <c r="A602" s="3">
        <v>40793</v>
      </c>
      <c r="B602" s="1">
        <v>8</v>
      </c>
      <c r="C602" s="22">
        <v>0.42380000000000001</v>
      </c>
      <c r="D602" s="36">
        <f t="shared" si="15"/>
        <v>3.3904000000000001</v>
      </c>
    </row>
    <row r="603" spans="1:4" x14ac:dyDescent="0.2">
      <c r="A603" s="3">
        <v>40794</v>
      </c>
      <c r="B603" s="1">
        <v>6</v>
      </c>
      <c r="C603" s="22">
        <v>0.29849999999999999</v>
      </c>
      <c r="D603" s="36">
        <f t="shared" si="15"/>
        <v>1.7909999999999999</v>
      </c>
    </row>
    <row r="604" spans="1:4" x14ac:dyDescent="0.2">
      <c r="A604" s="3">
        <v>40795</v>
      </c>
      <c r="B604" s="1">
        <v>8</v>
      </c>
      <c r="C604" s="22">
        <v>1.1632</v>
      </c>
      <c r="D604" s="36">
        <f t="shared" si="15"/>
        <v>9.3056000000000001</v>
      </c>
    </row>
    <row r="605" spans="1:4" x14ac:dyDescent="0.2">
      <c r="A605" s="3">
        <v>40796</v>
      </c>
      <c r="B605" s="1">
        <v>9</v>
      </c>
      <c r="C605" s="22">
        <v>1.9146000000000001</v>
      </c>
      <c r="D605" s="36">
        <f t="shared" si="15"/>
        <v>17.231400000000001</v>
      </c>
    </row>
    <row r="606" spans="1:4" x14ac:dyDescent="0.2">
      <c r="A606" s="3">
        <v>40797</v>
      </c>
      <c r="B606" s="1">
        <v>3</v>
      </c>
      <c r="C606" s="22">
        <v>2.4912999999999998</v>
      </c>
      <c r="D606" s="36">
        <f t="shared" si="15"/>
        <v>7.4738999999999995</v>
      </c>
    </row>
    <row r="607" spans="1:4" x14ac:dyDescent="0.2">
      <c r="A607" s="3">
        <v>40798</v>
      </c>
      <c r="B607" s="1">
        <v>5</v>
      </c>
      <c r="C607" s="22">
        <v>0.28460000000000002</v>
      </c>
      <c r="D607" s="36">
        <f t="shared" si="15"/>
        <v>1.423</v>
      </c>
    </row>
    <row r="608" spans="1:4" x14ac:dyDescent="0.2">
      <c r="A608" s="3">
        <v>40799</v>
      </c>
      <c r="B608" s="1">
        <v>9</v>
      </c>
      <c r="C608" s="22">
        <v>0.9526</v>
      </c>
      <c r="D608" s="36">
        <f t="shared" si="15"/>
        <v>8.5733999999999995</v>
      </c>
    </row>
    <row r="609" spans="1:4" x14ac:dyDescent="0.2">
      <c r="A609" s="3">
        <v>40800</v>
      </c>
      <c r="B609" s="1">
        <v>7</v>
      </c>
      <c r="C609" s="22">
        <v>1.0641</v>
      </c>
      <c r="D609" s="36">
        <f t="shared" si="15"/>
        <v>7.4487000000000005</v>
      </c>
    </row>
    <row r="610" spans="1:4" x14ac:dyDescent="0.2">
      <c r="A610" s="3">
        <v>40801</v>
      </c>
      <c r="B610" s="1">
        <v>1</v>
      </c>
      <c r="C610" s="22">
        <v>0.4461</v>
      </c>
      <c r="D610" s="36">
        <f t="shared" si="15"/>
        <v>0.4461</v>
      </c>
    </row>
    <row r="611" spans="1:4" x14ac:dyDescent="0.2">
      <c r="A611" s="3">
        <v>40802</v>
      </c>
      <c r="B611" s="1">
        <v>9</v>
      </c>
      <c r="C611" s="22">
        <v>1.8159000000000001</v>
      </c>
      <c r="D611" s="36">
        <f t="shared" si="15"/>
        <v>16.3431</v>
      </c>
    </row>
    <row r="612" spans="1:4" x14ac:dyDescent="0.2">
      <c r="A612" s="3">
        <v>40803</v>
      </c>
      <c r="B612" s="1">
        <v>1</v>
      </c>
      <c r="C612" s="22">
        <v>6.7248000000000001</v>
      </c>
      <c r="D612" s="36">
        <f t="shared" si="15"/>
        <v>6.7248000000000001</v>
      </c>
    </row>
    <row r="613" spans="1:4" x14ac:dyDescent="0.2">
      <c r="A613" s="3">
        <v>40804</v>
      </c>
      <c r="B613" s="1">
        <v>3</v>
      </c>
      <c r="C613" s="22">
        <v>1.4053</v>
      </c>
      <c r="D613" s="36">
        <f t="shared" si="15"/>
        <v>4.2158999999999995</v>
      </c>
    </row>
    <row r="614" spans="1:4" x14ac:dyDescent="0.2">
      <c r="A614" s="3">
        <v>40805</v>
      </c>
      <c r="B614" s="1">
        <v>6</v>
      </c>
      <c r="C614" s="22">
        <v>3.3208000000000002</v>
      </c>
      <c r="D614" s="36">
        <f t="shared" si="15"/>
        <v>19.924800000000001</v>
      </c>
    </row>
    <row r="615" spans="1:4" x14ac:dyDescent="0.2">
      <c r="A615" s="3">
        <v>40806</v>
      </c>
      <c r="B615" s="1">
        <v>7</v>
      </c>
      <c r="C615" s="22">
        <v>5.4352999999999998</v>
      </c>
      <c r="D615" s="36">
        <f t="shared" si="15"/>
        <v>38.0471</v>
      </c>
    </row>
    <row r="616" spans="1:4" x14ac:dyDescent="0.2">
      <c r="A616" s="3">
        <v>40807</v>
      </c>
      <c r="B616" s="1">
        <v>2</v>
      </c>
      <c r="C616" s="22">
        <v>0.7651</v>
      </c>
      <c r="D616" s="36">
        <f t="shared" si="15"/>
        <v>1.5302</v>
      </c>
    </row>
    <row r="617" spans="1:4" x14ac:dyDescent="0.2">
      <c r="A617" s="3">
        <v>40808</v>
      </c>
      <c r="B617" s="1">
        <v>6</v>
      </c>
      <c r="C617" s="22">
        <v>9.2813999999999997</v>
      </c>
      <c r="D617" s="36">
        <f t="shared" si="15"/>
        <v>55.688400000000001</v>
      </c>
    </row>
    <row r="618" spans="1:4" x14ac:dyDescent="0.2">
      <c r="A618" s="3">
        <v>40809</v>
      </c>
      <c r="B618" s="1">
        <v>4</v>
      </c>
      <c r="C618" s="22">
        <v>0.50970000000000004</v>
      </c>
      <c r="D618" s="36">
        <f t="shared" si="15"/>
        <v>2.0388000000000002</v>
      </c>
    </row>
    <row r="619" spans="1:4" x14ac:dyDescent="0.2">
      <c r="A619" s="3">
        <v>40810</v>
      </c>
      <c r="B619" s="1">
        <v>9</v>
      </c>
      <c r="C619" s="22">
        <v>1.3224</v>
      </c>
      <c r="D619" s="36">
        <f t="shared" si="15"/>
        <v>11.9016</v>
      </c>
    </row>
    <row r="620" spans="1:4" x14ac:dyDescent="0.2">
      <c r="A620" s="3">
        <v>40811</v>
      </c>
      <c r="B620" s="1">
        <v>7</v>
      </c>
      <c r="C620" s="22">
        <v>0.38279999999999997</v>
      </c>
      <c r="D620" s="36">
        <f t="shared" si="15"/>
        <v>2.6795999999999998</v>
      </c>
    </row>
    <row r="621" spans="1:4" x14ac:dyDescent="0.2">
      <c r="A621" s="3">
        <v>40812</v>
      </c>
      <c r="B621" s="1">
        <v>9</v>
      </c>
      <c r="C621" s="22">
        <v>0.60729999999999995</v>
      </c>
      <c r="D621" s="36">
        <f t="shared" si="15"/>
        <v>5.4657</v>
      </c>
    </row>
    <row r="622" spans="1:4" x14ac:dyDescent="0.2">
      <c r="A622" s="3">
        <v>40813</v>
      </c>
      <c r="B622" s="1">
        <v>1</v>
      </c>
      <c r="C622" s="22">
        <v>1.1836</v>
      </c>
      <c r="D622" s="36">
        <f t="shared" si="15"/>
        <v>1.1836</v>
      </c>
    </row>
    <row r="623" spans="1:4" x14ac:dyDescent="0.2">
      <c r="A623" s="3">
        <v>40814</v>
      </c>
      <c r="B623" s="1">
        <v>2</v>
      </c>
      <c r="C623" s="22">
        <v>2.1429999999999998</v>
      </c>
      <c r="D623" s="36">
        <f t="shared" si="15"/>
        <v>4.2859999999999996</v>
      </c>
    </row>
    <row r="624" spans="1:4" x14ac:dyDescent="0.2">
      <c r="A624" s="3">
        <v>40815</v>
      </c>
      <c r="B624" s="1">
        <v>1</v>
      </c>
      <c r="C624" s="22">
        <v>6.5381</v>
      </c>
      <c r="D624" s="36">
        <f t="shared" si="15"/>
        <v>6.5381</v>
      </c>
    </row>
    <row r="625" spans="1:4" x14ac:dyDescent="0.2">
      <c r="A625" s="3">
        <v>40816</v>
      </c>
      <c r="B625" s="1">
        <v>4</v>
      </c>
      <c r="C625" s="22">
        <v>0.72629999999999995</v>
      </c>
      <c r="D625" s="36">
        <f t="shared" si="15"/>
        <v>2.9051999999999998</v>
      </c>
    </row>
    <row r="626" spans="1:4" x14ac:dyDescent="0.2">
      <c r="A626" s="3">
        <v>40817</v>
      </c>
      <c r="B626" s="1">
        <v>6</v>
      </c>
      <c r="C626" s="22">
        <v>5.7256999999999998</v>
      </c>
      <c r="D626" s="36">
        <f t="shared" si="15"/>
        <v>34.354199999999999</v>
      </c>
    </row>
    <row r="627" spans="1:4" x14ac:dyDescent="0.2">
      <c r="A627" s="3">
        <v>40818</v>
      </c>
      <c r="B627" s="1">
        <v>3</v>
      </c>
      <c r="C627" s="22">
        <v>0.70440000000000003</v>
      </c>
      <c r="D627" s="36">
        <f t="shared" si="15"/>
        <v>2.1132</v>
      </c>
    </row>
    <row r="628" spans="1:4" x14ac:dyDescent="0.2">
      <c r="A628" s="3">
        <v>40819</v>
      </c>
      <c r="B628" s="1">
        <v>5</v>
      </c>
      <c r="C628" s="22">
        <v>0.68420000000000003</v>
      </c>
      <c r="D628" s="36">
        <f t="shared" si="15"/>
        <v>3.4210000000000003</v>
      </c>
    </row>
    <row r="629" spans="1:4" x14ac:dyDescent="0.2">
      <c r="A629" s="3">
        <v>40820</v>
      </c>
      <c r="B629" s="1">
        <v>8</v>
      </c>
      <c r="C629" s="22">
        <v>2.4870000000000001</v>
      </c>
      <c r="D629" s="36">
        <f t="shared" si="15"/>
        <v>19.896000000000001</v>
      </c>
    </row>
    <row r="630" spans="1:4" x14ac:dyDescent="0.2">
      <c r="A630" s="3">
        <v>40821</v>
      </c>
      <c r="B630" s="1">
        <v>8</v>
      </c>
      <c r="C630" s="22">
        <v>5.9229000000000003</v>
      </c>
      <c r="D630" s="36">
        <f t="shared" si="15"/>
        <v>47.383200000000002</v>
      </c>
    </row>
    <row r="631" spans="1:4" x14ac:dyDescent="0.2">
      <c r="A631" s="3">
        <v>40822</v>
      </c>
      <c r="B631" s="1">
        <v>2</v>
      </c>
      <c r="C631" s="22">
        <v>1.6536999999999999</v>
      </c>
      <c r="D631" s="36">
        <f t="shared" si="15"/>
        <v>3.3073999999999999</v>
      </c>
    </row>
    <row r="632" spans="1:4" x14ac:dyDescent="0.2">
      <c r="A632" s="3">
        <v>40823</v>
      </c>
      <c r="B632" s="1">
        <v>1</v>
      </c>
      <c r="C632" s="22">
        <v>0.34200000000000003</v>
      </c>
      <c r="D632" s="36">
        <f t="shared" si="15"/>
        <v>0.34200000000000003</v>
      </c>
    </row>
    <row r="633" spans="1:4" x14ac:dyDescent="0.2">
      <c r="A633" s="3">
        <v>40824</v>
      </c>
      <c r="B633" s="1">
        <v>5</v>
      </c>
      <c r="C633" s="22">
        <v>1.5114000000000001</v>
      </c>
      <c r="D633" s="36">
        <f t="shared" si="15"/>
        <v>7.5570000000000004</v>
      </c>
    </row>
    <row r="634" spans="1:4" x14ac:dyDescent="0.2">
      <c r="A634" s="3">
        <v>40825</v>
      </c>
      <c r="B634" s="1">
        <v>8</v>
      </c>
      <c r="C634" s="22">
        <v>6.0313999999999997</v>
      </c>
      <c r="D634" s="36">
        <f t="shared" si="15"/>
        <v>48.251199999999997</v>
      </c>
    </row>
    <row r="635" spans="1:4" x14ac:dyDescent="0.2">
      <c r="A635" s="3">
        <v>40826</v>
      </c>
      <c r="B635" s="1">
        <v>6</v>
      </c>
      <c r="C635" s="22">
        <v>1.7129000000000001</v>
      </c>
      <c r="D635" s="36">
        <f t="shared" si="15"/>
        <v>10.2774</v>
      </c>
    </row>
    <row r="636" spans="1:4" x14ac:dyDescent="0.2">
      <c r="A636" s="3">
        <v>40827</v>
      </c>
      <c r="B636" s="1">
        <v>5</v>
      </c>
      <c r="C636" s="22">
        <v>4.2606000000000002</v>
      </c>
      <c r="D636" s="36">
        <f t="shared" si="15"/>
        <v>21.303000000000001</v>
      </c>
    </row>
    <row r="637" spans="1:4" x14ac:dyDescent="0.2">
      <c r="A637" s="3">
        <v>40828</v>
      </c>
      <c r="B637" s="1">
        <v>4</v>
      </c>
      <c r="C637" s="22">
        <v>1.4071</v>
      </c>
      <c r="D637" s="36">
        <f t="shared" si="15"/>
        <v>5.6284000000000001</v>
      </c>
    </row>
    <row r="638" spans="1:4" x14ac:dyDescent="0.2">
      <c r="A638" s="3">
        <v>40829</v>
      </c>
      <c r="B638" s="1">
        <v>4</v>
      </c>
      <c r="C638" s="22">
        <v>0.3362</v>
      </c>
      <c r="D638" s="36">
        <f t="shared" si="15"/>
        <v>1.3448</v>
      </c>
    </row>
    <row r="639" spans="1:4" x14ac:dyDescent="0.2">
      <c r="A639" s="3">
        <v>40830</v>
      </c>
      <c r="B639" s="1">
        <v>9</v>
      </c>
      <c r="C639" s="22">
        <v>2.7957000000000001</v>
      </c>
      <c r="D639" s="36">
        <f t="shared" si="15"/>
        <v>25.161300000000001</v>
      </c>
    </row>
    <row r="640" spans="1:4" x14ac:dyDescent="0.2">
      <c r="A640" s="3">
        <v>40831</v>
      </c>
      <c r="B640" s="1">
        <v>2</v>
      </c>
      <c r="C640" s="22">
        <v>1.1927000000000001</v>
      </c>
      <c r="D640" s="36">
        <f t="shared" si="15"/>
        <v>2.3854000000000002</v>
      </c>
    </row>
    <row r="641" spans="1:4" x14ac:dyDescent="0.2">
      <c r="A641" s="3">
        <v>40832</v>
      </c>
      <c r="B641" s="1">
        <v>8</v>
      </c>
      <c r="C641" s="22">
        <v>0.255</v>
      </c>
      <c r="D641" s="36">
        <f t="shared" si="15"/>
        <v>2.04</v>
      </c>
    </row>
    <row r="642" spans="1:4" x14ac:dyDescent="0.2">
      <c r="A642" s="3">
        <v>40833</v>
      </c>
      <c r="B642" s="1">
        <v>6</v>
      </c>
      <c r="C642" s="22">
        <v>5.3014000000000001</v>
      </c>
      <c r="D642" s="36">
        <f t="shared" si="15"/>
        <v>31.808399999999999</v>
      </c>
    </row>
    <row r="643" spans="1:4" x14ac:dyDescent="0.2">
      <c r="A643" s="3">
        <v>40834</v>
      </c>
      <c r="B643" s="1">
        <v>5</v>
      </c>
      <c r="C643" s="22">
        <v>1.895</v>
      </c>
      <c r="D643" s="36">
        <f t="shared" si="15"/>
        <v>9.4749999999999996</v>
      </c>
    </row>
    <row r="644" spans="1:4" x14ac:dyDescent="0.2">
      <c r="A644" s="3">
        <v>40835</v>
      </c>
      <c r="B644" s="1">
        <v>9</v>
      </c>
      <c r="C644" s="22">
        <v>1.58</v>
      </c>
      <c r="D644" s="36">
        <f t="shared" ref="D644:D703" si="16">B644*C644</f>
        <v>14.22</v>
      </c>
    </row>
    <row r="645" spans="1:4" x14ac:dyDescent="0.2">
      <c r="A645" s="3">
        <v>40836</v>
      </c>
      <c r="B645" s="1">
        <v>8</v>
      </c>
      <c r="C645" s="22">
        <v>2.2073999999999998</v>
      </c>
      <c r="D645" s="36">
        <f t="shared" si="16"/>
        <v>17.659199999999998</v>
      </c>
    </row>
    <row r="646" spans="1:4" x14ac:dyDescent="0.2">
      <c r="A646" s="3">
        <v>40837</v>
      </c>
      <c r="B646" s="1">
        <v>3</v>
      </c>
      <c r="C646" s="22">
        <v>6.4362000000000004</v>
      </c>
      <c r="D646" s="36">
        <f t="shared" si="16"/>
        <v>19.308600000000002</v>
      </c>
    </row>
    <row r="647" spans="1:4" x14ac:dyDescent="0.2">
      <c r="A647" s="3">
        <v>40838</v>
      </c>
      <c r="B647" s="1">
        <v>6</v>
      </c>
      <c r="C647" s="22">
        <v>4.6921999999999997</v>
      </c>
      <c r="D647" s="36">
        <f t="shared" si="16"/>
        <v>28.153199999999998</v>
      </c>
    </row>
    <row r="648" spans="1:4" x14ac:dyDescent="0.2">
      <c r="A648" s="3">
        <v>40839</v>
      </c>
      <c r="B648" s="1">
        <v>3</v>
      </c>
      <c r="C648" s="22">
        <v>1.2554000000000001</v>
      </c>
      <c r="D648" s="36">
        <f t="shared" si="16"/>
        <v>3.7662000000000004</v>
      </c>
    </row>
    <row r="649" spans="1:4" x14ac:dyDescent="0.2">
      <c r="A649" s="3">
        <v>40840</v>
      </c>
      <c r="B649" s="1">
        <v>2</v>
      </c>
      <c r="C649" s="22">
        <v>0.70579999999999998</v>
      </c>
      <c r="D649" s="36">
        <f t="shared" si="16"/>
        <v>1.4116</v>
      </c>
    </row>
    <row r="650" spans="1:4" x14ac:dyDescent="0.2">
      <c r="A650" s="3">
        <v>40841</v>
      </c>
      <c r="B650" s="1">
        <v>10</v>
      </c>
      <c r="C650" s="22">
        <v>0.38619999999999999</v>
      </c>
      <c r="D650" s="36">
        <f t="shared" si="16"/>
        <v>3.8620000000000001</v>
      </c>
    </row>
    <row r="651" spans="1:4" x14ac:dyDescent="0.2">
      <c r="A651" s="3">
        <v>40842</v>
      </c>
      <c r="B651" s="1">
        <v>9</v>
      </c>
      <c r="C651" s="22">
        <v>2.6128999999999998</v>
      </c>
      <c r="D651" s="36">
        <f t="shared" si="16"/>
        <v>23.516099999999998</v>
      </c>
    </row>
    <row r="652" spans="1:4" x14ac:dyDescent="0.2">
      <c r="A652" s="3">
        <v>40843</v>
      </c>
      <c r="B652" s="1">
        <v>3</v>
      </c>
      <c r="C652" s="22">
        <v>3.7667999999999999</v>
      </c>
      <c r="D652" s="36">
        <f t="shared" si="16"/>
        <v>11.3004</v>
      </c>
    </row>
    <row r="653" spans="1:4" x14ac:dyDescent="0.2">
      <c r="A653" s="3">
        <v>40844</v>
      </c>
      <c r="B653" s="1">
        <v>5</v>
      </c>
      <c r="C653" s="22">
        <v>3.1518000000000002</v>
      </c>
      <c r="D653" s="36">
        <f t="shared" si="16"/>
        <v>15.759</v>
      </c>
    </row>
    <row r="654" spans="1:4" x14ac:dyDescent="0.2">
      <c r="A654" s="3">
        <v>40845</v>
      </c>
      <c r="B654" s="1">
        <v>1</v>
      </c>
      <c r="C654" s="22">
        <v>0.80879999999999996</v>
      </c>
      <c r="D654" s="36">
        <f t="shared" si="16"/>
        <v>0.80879999999999996</v>
      </c>
    </row>
    <row r="655" spans="1:4" x14ac:dyDescent="0.2">
      <c r="A655" s="3">
        <v>40846</v>
      </c>
      <c r="B655" s="1">
        <v>6</v>
      </c>
      <c r="C655" s="22">
        <v>0.58379999999999999</v>
      </c>
      <c r="D655" s="36">
        <f t="shared" si="16"/>
        <v>3.5027999999999997</v>
      </c>
    </row>
    <row r="656" spans="1:4" x14ac:dyDescent="0.2">
      <c r="A656" s="3">
        <v>40847</v>
      </c>
      <c r="B656" s="1">
        <v>6</v>
      </c>
      <c r="C656" s="22">
        <v>1.3117000000000001</v>
      </c>
      <c r="D656" s="36">
        <f t="shared" si="16"/>
        <v>7.8702000000000005</v>
      </c>
    </row>
    <row r="657" spans="1:4" x14ac:dyDescent="0.2">
      <c r="A657" s="3">
        <v>40848</v>
      </c>
      <c r="B657" s="1">
        <v>9</v>
      </c>
      <c r="C657" s="22">
        <v>2.0891000000000002</v>
      </c>
      <c r="D657" s="36">
        <f t="shared" si="16"/>
        <v>18.801900000000003</v>
      </c>
    </row>
    <row r="658" spans="1:4" x14ac:dyDescent="0.2">
      <c r="A658" s="3">
        <v>40849</v>
      </c>
      <c r="B658" s="1">
        <v>1</v>
      </c>
      <c r="C658" s="22">
        <v>2.8582999999999998</v>
      </c>
      <c r="D658" s="36">
        <f t="shared" si="16"/>
        <v>2.8582999999999998</v>
      </c>
    </row>
    <row r="659" spans="1:4" x14ac:dyDescent="0.2">
      <c r="A659" s="3">
        <v>40850</v>
      </c>
      <c r="B659" s="1">
        <v>1</v>
      </c>
      <c r="C659" s="22">
        <v>8.4392999999999994</v>
      </c>
      <c r="D659" s="36">
        <f t="shared" si="16"/>
        <v>8.4392999999999994</v>
      </c>
    </row>
    <row r="660" spans="1:4" x14ac:dyDescent="0.2">
      <c r="A660" s="3">
        <v>40851</v>
      </c>
      <c r="B660" s="1">
        <v>5</v>
      </c>
      <c r="C660" s="22">
        <v>3.8573</v>
      </c>
      <c r="D660" s="36">
        <f t="shared" si="16"/>
        <v>19.2865</v>
      </c>
    </row>
    <row r="661" spans="1:4" x14ac:dyDescent="0.2">
      <c r="A661" s="3">
        <v>40852</v>
      </c>
      <c r="B661" s="1">
        <v>10</v>
      </c>
      <c r="C661" s="22">
        <v>0.42199999999999999</v>
      </c>
      <c r="D661" s="36">
        <f t="shared" si="16"/>
        <v>4.22</v>
      </c>
    </row>
    <row r="662" spans="1:4" x14ac:dyDescent="0.2">
      <c r="A662" s="3">
        <v>40853</v>
      </c>
      <c r="B662" s="1">
        <v>2</v>
      </c>
      <c r="C662" s="22">
        <v>0.42620000000000002</v>
      </c>
      <c r="D662" s="36">
        <f t="shared" si="16"/>
        <v>0.85240000000000005</v>
      </c>
    </row>
    <row r="663" spans="1:4" x14ac:dyDescent="0.2">
      <c r="A663" s="3">
        <v>40854</v>
      </c>
      <c r="B663" s="1">
        <v>7</v>
      </c>
      <c r="C663" s="22">
        <v>1.8302</v>
      </c>
      <c r="D663" s="36">
        <f t="shared" si="16"/>
        <v>12.811400000000001</v>
      </c>
    </row>
    <row r="664" spans="1:4" x14ac:dyDescent="0.2">
      <c r="A664" s="3">
        <v>40855</v>
      </c>
      <c r="B664" s="1">
        <v>6</v>
      </c>
      <c r="C664" s="22">
        <v>3.3016999999999999</v>
      </c>
      <c r="D664" s="36">
        <f t="shared" si="16"/>
        <v>19.810199999999998</v>
      </c>
    </row>
    <row r="665" spans="1:4" x14ac:dyDescent="0.2">
      <c r="A665" s="3">
        <v>40856</v>
      </c>
      <c r="B665" s="1">
        <v>3</v>
      </c>
      <c r="C665" s="22">
        <v>0.35199999999999998</v>
      </c>
      <c r="D665" s="36">
        <f t="shared" si="16"/>
        <v>1.056</v>
      </c>
    </row>
    <row r="666" spans="1:4" x14ac:dyDescent="0.2">
      <c r="A666" s="3">
        <v>40857</v>
      </c>
      <c r="B666" s="1">
        <v>9</v>
      </c>
      <c r="C666" s="22">
        <v>0.34560000000000002</v>
      </c>
      <c r="D666" s="36">
        <f t="shared" si="16"/>
        <v>3.1104000000000003</v>
      </c>
    </row>
    <row r="667" spans="1:4" x14ac:dyDescent="0.2">
      <c r="A667" s="3">
        <v>40858</v>
      </c>
      <c r="B667" s="1">
        <v>4</v>
      </c>
      <c r="C667" s="22">
        <v>0.33710000000000001</v>
      </c>
      <c r="D667" s="36">
        <f t="shared" si="16"/>
        <v>1.3484</v>
      </c>
    </row>
    <row r="668" spans="1:4" x14ac:dyDescent="0.2">
      <c r="A668" s="3">
        <v>40859</v>
      </c>
      <c r="B668" s="1">
        <v>5</v>
      </c>
      <c r="C668" s="22">
        <v>0.24199999999999999</v>
      </c>
      <c r="D668" s="36">
        <f t="shared" si="16"/>
        <v>1.21</v>
      </c>
    </row>
    <row r="669" spans="1:4" x14ac:dyDescent="0.2">
      <c r="A669" s="3">
        <v>40860</v>
      </c>
      <c r="B669" s="1">
        <v>7</v>
      </c>
      <c r="C669" s="22">
        <v>1.1688000000000001</v>
      </c>
      <c r="D669" s="36">
        <f t="shared" si="16"/>
        <v>8.1815999999999995</v>
      </c>
    </row>
    <row r="670" spans="1:4" x14ac:dyDescent="0.2">
      <c r="A670" s="3">
        <v>40861</v>
      </c>
      <c r="B670" s="1">
        <v>7</v>
      </c>
      <c r="C670" s="22">
        <v>1.4468000000000001</v>
      </c>
      <c r="D670" s="36">
        <f t="shared" si="16"/>
        <v>10.127600000000001</v>
      </c>
    </row>
    <row r="671" spans="1:4" x14ac:dyDescent="0.2">
      <c r="A671" s="3">
        <v>40862</v>
      </c>
      <c r="B671" s="1">
        <v>4</v>
      </c>
      <c r="C671" s="22">
        <v>0.67820000000000003</v>
      </c>
      <c r="D671" s="36">
        <f t="shared" si="16"/>
        <v>2.7128000000000001</v>
      </c>
    </row>
    <row r="672" spans="1:4" x14ac:dyDescent="0.2">
      <c r="A672" s="3">
        <v>40863</v>
      </c>
      <c r="B672" s="1">
        <v>10</v>
      </c>
      <c r="C672" s="22">
        <v>0.28239999999999998</v>
      </c>
      <c r="D672" s="36">
        <f t="shared" si="16"/>
        <v>2.8239999999999998</v>
      </c>
    </row>
    <row r="673" spans="1:4" x14ac:dyDescent="0.2">
      <c r="A673" s="3">
        <v>40864</v>
      </c>
      <c r="B673" s="1">
        <v>5</v>
      </c>
      <c r="C673" s="22">
        <v>1.9283999999999999</v>
      </c>
      <c r="D673" s="36">
        <f t="shared" si="16"/>
        <v>9.6419999999999995</v>
      </c>
    </row>
    <row r="674" spans="1:4" x14ac:dyDescent="0.2">
      <c r="A674" s="3">
        <v>40865</v>
      </c>
      <c r="B674" s="1">
        <v>7</v>
      </c>
      <c r="C674" s="22">
        <v>1.4132</v>
      </c>
      <c r="D674" s="36">
        <f t="shared" si="16"/>
        <v>9.8924000000000003</v>
      </c>
    </row>
    <row r="675" spans="1:4" x14ac:dyDescent="0.2">
      <c r="A675" s="3">
        <v>40866</v>
      </c>
      <c r="B675" s="1">
        <v>5</v>
      </c>
      <c r="C675" s="22">
        <v>0.36330000000000001</v>
      </c>
      <c r="D675" s="36">
        <f t="shared" si="16"/>
        <v>1.8165</v>
      </c>
    </row>
    <row r="676" spans="1:4" x14ac:dyDescent="0.2">
      <c r="A676" s="3">
        <v>40867</v>
      </c>
      <c r="B676" s="1">
        <v>5</v>
      </c>
      <c r="C676" s="22">
        <v>0.34489999999999998</v>
      </c>
      <c r="D676" s="36">
        <f t="shared" si="16"/>
        <v>1.7244999999999999</v>
      </c>
    </row>
    <row r="677" spans="1:4" x14ac:dyDescent="0.2">
      <c r="A677" s="3">
        <v>40868</v>
      </c>
      <c r="B677" s="1">
        <v>6</v>
      </c>
      <c r="C677" s="22">
        <v>0.2016</v>
      </c>
      <c r="D677" s="36">
        <f t="shared" si="16"/>
        <v>1.2096</v>
      </c>
    </row>
    <row r="678" spans="1:4" x14ac:dyDescent="0.2">
      <c r="A678" s="3">
        <v>40869</v>
      </c>
      <c r="B678" s="1">
        <v>6</v>
      </c>
      <c r="C678" s="22">
        <v>3.71</v>
      </c>
      <c r="D678" s="36">
        <f t="shared" si="16"/>
        <v>22.259999999999998</v>
      </c>
    </row>
    <row r="679" spans="1:4" x14ac:dyDescent="0.2">
      <c r="A679" s="3">
        <v>40870</v>
      </c>
      <c r="B679" s="1">
        <v>4</v>
      </c>
      <c r="C679" s="22">
        <v>4.0125999999999999</v>
      </c>
      <c r="D679" s="36">
        <f t="shared" si="16"/>
        <v>16.0504</v>
      </c>
    </row>
    <row r="680" spans="1:4" x14ac:dyDescent="0.2">
      <c r="A680" s="3">
        <v>40871</v>
      </c>
      <c r="B680" s="1">
        <v>4</v>
      </c>
      <c r="C680" s="22">
        <v>1.2833000000000001</v>
      </c>
      <c r="D680" s="36">
        <f t="shared" si="16"/>
        <v>5.1332000000000004</v>
      </c>
    </row>
    <row r="681" spans="1:4" x14ac:dyDescent="0.2">
      <c r="A681" s="3">
        <v>40872</v>
      </c>
      <c r="B681" s="1">
        <v>10</v>
      </c>
      <c r="C681" s="22">
        <v>2.2715000000000001</v>
      </c>
      <c r="D681" s="36">
        <f t="shared" si="16"/>
        <v>22.715</v>
      </c>
    </row>
    <row r="682" spans="1:4" x14ac:dyDescent="0.2">
      <c r="A682" s="3">
        <v>40873</v>
      </c>
      <c r="B682" s="1">
        <v>8</v>
      </c>
      <c r="C682" s="22">
        <v>1.2958000000000001</v>
      </c>
      <c r="D682" s="36">
        <f t="shared" si="16"/>
        <v>10.366400000000001</v>
      </c>
    </row>
    <row r="683" spans="1:4" x14ac:dyDescent="0.2">
      <c r="A683" s="3">
        <v>40874</v>
      </c>
      <c r="B683" s="1">
        <v>5</v>
      </c>
      <c r="C683" s="22">
        <v>1.3409</v>
      </c>
      <c r="D683" s="36">
        <f t="shared" si="16"/>
        <v>6.7044999999999995</v>
      </c>
    </row>
    <row r="684" spans="1:4" x14ac:dyDescent="0.2">
      <c r="A684" s="3">
        <v>40875</v>
      </c>
      <c r="B684" s="1">
        <v>1</v>
      </c>
      <c r="C684" s="22">
        <v>1.2962</v>
      </c>
      <c r="D684" s="36">
        <f t="shared" si="16"/>
        <v>1.2962</v>
      </c>
    </row>
    <row r="685" spans="1:4" x14ac:dyDescent="0.2">
      <c r="A685" s="3">
        <v>40876</v>
      </c>
      <c r="B685" s="1">
        <v>1</v>
      </c>
      <c r="C685" s="22">
        <v>3.5568</v>
      </c>
      <c r="D685" s="36">
        <f t="shared" si="16"/>
        <v>3.5568</v>
      </c>
    </row>
    <row r="686" spans="1:4" x14ac:dyDescent="0.2">
      <c r="A686" s="3">
        <v>40877</v>
      </c>
      <c r="B686" s="1">
        <v>1</v>
      </c>
      <c r="C686" s="22">
        <v>0.86919999999999997</v>
      </c>
      <c r="D686" s="36">
        <f t="shared" si="16"/>
        <v>0.86919999999999997</v>
      </c>
    </row>
    <row r="687" spans="1:4" x14ac:dyDescent="0.2">
      <c r="A687" s="3">
        <v>40878</v>
      </c>
      <c r="B687" s="1">
        <v>8</v>
      </c>
      <c r="C687" s="22">
        <v>0.75539999999999996</v>
      </c>
      <c r="D687" s="36">
        <f t="shared" si="16"/>
        <v>6.0431999999999997</v>
      </c>
    </row>
    <row r="688" spans="1:4" x14ac:dyDescent="0.2">
      <c r="A688" s="3">
        <v>40879</v>
      </c>
      <c r="B688" s="1">
        <v>5</v>
      </c>
      <c r="C688" s="22">
        <v>1.8439000000000001</v>
      </c>
      <c r="D688" s="36">
        <f t="shared" si="16"/>
        <v>9.2195</v>
      </c>
    </row>
    <row r="689" spans="1:4" x14ac:dyDescent="0.2">
      <c r="A689" s="3">
        <v>40880</v>
      </c>
      <c r="B689" s="1">
        <v>10</v>
      </c>
      <c r="C689" s="22">
        <v>0.81779999999999997</v>
      </c>
      <c r="D689" s="36">
        <f t="shared" si="16"/>
        <v>8.177999999999999</v>
      </c>
    </row>
    <row r="690" spans="1:4" x14ac:dyDescent="0.2">
      <c r="A690" s="3">
        <v>40881</v>
      </c>
      <c r="B690" s="1">
        <v>8</v>
      </c>
      <c r="C690" s="22">
        <v>1.4169</v>
      </c>
      <c r="D690" s="36">
        <f t="shared" si="16"/>
        <v>11.3352</v>
      </c>
    </row>
    <row r="691" spans="1:4" x14ac:dyDescent="0.2">
      <c r="A691" s="3">
        <v>40882</v>
      </c>
      <c r="B691" s="1">
        <v>3</v>
      </c>
      <c r="C691" s="22">
        <v>2.9958</v>
      </c>
      <c r="D691" s="36">
        <f t="shared" si="16"/>
        <v>8.9874000000000009</v>
      </c>
    </row>
    <row r="692" spans="1:4" x14ac:dyDescent="0.2">
      <c r="A692" s="3">
        <v>40883</v>
      </c>
      <c r="B692" s="1">
        <v>9</v>
      </c>
      <c r="C692" s="22">
        <v>1.3255999999999999</v>
      </c>
      <c r="D692" s="36">
        <f t="shared" si="16"/>
        <v>11.930399999999999</v>
      </c>
    </row>
    <row r="693" spans="1:4" x14ac:dyDescent="0.2">
      <c r="A693" s="3">
        <v>40884</v>
      </c>
      <c r="B693" s="1">
        <v>5</v>
      </c>
      <c r="C693" s="22">
        <v>1.7988</v>
      </c>
      <c r="D693" s="36">
        <f t="shared" si="16"/>
        <v>8.9939999999999998</v>
      </c>
    </row>
    <row r="694" spans="1:4" x14ac:dyDescent="0.2">
      <c r="A694" s="3">
        <v>40885</v>
      </c>
      <c r="B694" s="1">
        <v>6</v>
      </c>
      <c r="C694" s="22">
        <v>3.9054000000000002</v>
      </c>
      <c r="D694" s="36">
        <f t="shared" si="16"/>
        <v>23.432400000000001</v>
      </c>
    </row>
    <row r="695" spans="1:4" x14ac:dyDescent="0.2">
      <c r="A695" s="3">
        <v>40886</v>
      </c>
      <c r="B695" s="1">
        <v>8</v>
      </c>
      <c r="C695" s="22">
        <v>3.9986000000000002</v>
      </c>
      <c r="D695" s="36">
        <f t="shared" si="16"/>
        <v>31.988800000000001</v>
      </c>
    </row>
    <row r="696" spans="1:4" x14ac:dyDescent="0.2">
      <c r="A696" s="3">
        <v>40887</v>
      </c>
      <c r="B696" s="1">
        <v>2</v>
      </c>
      <c r="C696" s="22">
        <v>0.1376</v>
      </c>
      <c r="D696" s="36">
        <f t="shared" si="16"/>
        <v>0.2752</v>
      </c>
    </row>
    <row r="697" spans="1:4" x14ac:dyDescent="0.2">
      <c r="A697" s="3">
        <v>40888</v>
      </c>
      <c r="B697" s="1">
        <v>1</v>
      </c>
      <c r="C697" s="22">
        <v>1.2111000000000001</v>
      </c>
      <c r="D697" s="36">
        <f t="shared" si="16"/>
        <v>1.2111000000000001</v>
      </c>
    </row>
    <row r="698" spans="1:4" x14ac:dyDescent="0.2">
      <c r="A698" s="3">
        <v>40889</v>
      </c>
      <c r="B698" s="1">
        <v>1</v>
      </c>
      <c r="C698" s="22">
        <v>1.3904000000000001</v>
      </c>
      <c r="D698" s="36">
        <f t="shared" si="16"/>
        <v>1.3904000000000001</v>
      </c>
    </row>
    <row r="699" spans="1:4" x14ac:dyDescent="0.2">
      <c r="A699" s="3">
        <v>40890</v>
      </c>
      <c r="B699" s="1">
        <v>1</v>
      </c>
      <c r="C699" s="22">
        <v>0.57469999999999999</v>
      </c>
      <c r="D699" s="36">
        <f t="shared" si="16"/>
        <v>0.57469999999999999</v>
      </c>
    </row>
    <row r="700" spans="1:4" x14ac:dyDescent="0.2">
      <c r="A700" s="3">
        <v>40891</v>
      </c>
      <c r="B700" s="1">
        <v>6</v>
      </c>
      <c r="C700" s="22">
        <v>0.72089999999999999</v>
      </c>
      <c r="D700" s="36">
        <f t="shared" si="16"/>
        <v>4.3254000000000001</v>
      </c>
    </row>
    <row r="701" spans="1:4" x14ac:dyDescent="0.2">
      <c r="A701" s="3">
        <v>40892</v>
      </c>
      <c r="B701" s="1">
        <v>10</v>
      </c>
      <c r="C701" s="22">
        <v>0.36280000000000001</v>
      </c>
      <c r="D701" s="36">
        <f t="shared" si="16"/>
        <v>3.6280000000000001</v>
      </c>
    </row>
    <row r="702" spans="1:4" x14ac:dyDescent="0.2">
      <c r="A702" s="3">
        <v>40893</v>
      </c>
      <c r="B702" s="1">
        <v>4</v>
      </c>
      <c r="C702" s="22">
        <v>0.27150000000000002</v>
      </c>
      <c r="D702" s="36">
        <f t="shared" si="16"/>
        <v>1.0860000000000001</v>
      </c>
    </row>
    <row r="703" spans="1:4" ht="16" thickBot="1" x14ac:dyDescent="0.25">
      <c r="A703" s="4">
        <v>40894</v>
      </c>
      <c r="B703" s="2">
        <v>4</v>
      </c>
      <c r="C703" s="23">
        <v>0.93220000000000003</v>
      </c>
      <c r="D703" s="36">
        <f t="shared" si="16"/>
        <v>3.7288000000000001</v>
      </c>
    </row>
  </sheetData>
  <mergeCells count="1">
    <mergeCell ref="A1:D1"/>
  </mergeCells>
  <conditionalFormatting sqref="L3:L1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{5B093EDE-90F2-A54A-B0BC-6FA6FD464D6D}</x14:id>
        </ext>
      </extLst>
    </cfRule>
  </conditionalFormatting>
  <pageMargins left="0.7" right="0.7" top="0.75" bottom="0.75" header="0.3" footer="0.3"/>
  <pageSetup orientation="portrait" horizontalDpi="4294967295" verticalDpi="4294967295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093EDE-90F2-A54A-B0BC-6FA6FD464D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1596-DF4E-43CC-B936-0D857AA7D39D}">
  <dimension ref="A1:G7"/>
  <sheetViews>
    <sheetView workbookViewId="0"/>
  </sheetViews>
  <sheetFormatPr baseColWidth="10" defaultRowHeight="15" x14ac:dyDescent="0.2"/>
  <cols>
    <col min="1" max="1" width="11.5" style="11"/>
    <col min="2" max="2" width="11.5" style="5"/>
    <col min="3" max="3" width="37.6640625" style="5" customWidth="1"/>
    <col min="4" max="6" width="11.5" style="5"/>
  </cols>
  <sheetData>
    <row r="1" spans="1:7" ht="16" thickBot="1" x14ac:dyDescent="0.25"/>
    <row r="2" spans="1:7" ht="43" thickBot="1" x14ac:dyDescent="0.25">
      <c r="B2" s="14" t="s">
        <v>2</v>
      </c>
      <c r="C2" s="14" t="s">
        <v>3</v>
      </c>
      <c r="D2" s="14" t="s">
        <v>4</v>
      </c>
      <c r="E2" s="14" t="s">
        <v>5</v>
      </c>
      <c r="F2" s="15" t="s">
        <v>6</v>
      </c>
      <c r="G2" s="17" t="s">
        <v>8</v>
      </c>
    </row>
    <row r="3" spans="1:7" ht="99" thickBot="1" x14ac:dyDescent="0.25">
      <c r="A3" s="11">
        <v>1</v>
      </c>
      <c r="B3" s="6" t="s">
        <v>33</v>
      </c>
      <c r="C3" s="6" t="s">
        <v>34</v>
      </c>
      <c r="D3" s="6" t="s">
        <v>35</v>
      </c>
      <c r="E3" s="6" t="s">
        <v>36</v>
      </c>
      <c r="F3" s="7" t="s">
        <v>37</v>
      </c>
      <c r="G3" s="9" t="s">
        <v>14</v>
      </c>
    </row>
    <row r="4" spans="1:7" ht="113" thickBot="1" x14ac:dyDescent="0.25">
      <c r="A4" s="11">
        <v>2</v>
      </c>
      <c r="B4" s="6" t="s">
        <v>27</v>
      </c>
      <c r="C4" s="6" t="s">
        <v>28</v>
      </c>
      <c r="D4" s="6" t="s">
        <v>29</v>
      </c>
      <c r="E4" s="6" t="s">
        <v>30</v>
      </c>
      <c r="F4" s="7" t="s">
        <v>31</v>
      </c>
      <c r="G4" s="9" t="s">
        <v>20</v>
      </c>
    </row>
    <row r="5" spans="1:7" ht="113" thickBot="1" x14ac:dyDescent="0.25">
      <c r="A5" s="11">
        <v>3</v>
      </c>
      <c r="B5" s="6" t="s">
        <v>21</v>
      </c>
      <c r="C5" s="6" t="s">
        <v>22</v>
      </c>
      <c r="D5" s="6" t="s">
        <v>23</v>
      </c>
      <c r="E5" s="6" t="s">
        <v>24</v>
      </c>
      <c r="F5" s="7" t="s">
        <v>25</v>
      </c>
      <c r="G5" s="9" t="s">
        <v>26</v>
      </c>
    </row>
    <row r="6" spans="1:7" ht="141" thickBot="1" x14ac:dyDescent="0.25">
      <c r="A6" s="11">
        <v>4</v>
      </c>
      <c r="B6" s="6" t="s">
        <v>15</v>
      </c>
      <c r="C6" s="6" t="s">
        <v>16</v>
      </c>
      <c r="D6" s="6" t="s">
        <v>17</v>
      </c>
      <c r="E6" s="6" t="s">
        <v>18</v>
      </c>
      <c r="F6" s="7" t="s">
        <v>19</v>
      </c>
      <c r="G6" s="9" t="s">
        <v>32</v>
      </c>
    </row>
    <row r="7" spans="1:7" ht="141" thickBot="1" x14ac:dyDescent="0.25">
      <c r="A7" s="11">
        <v>5</v>
      </c>
      <c r="B7" s="6" t="s">
        <v>9</v>
      </c>
      <c r="C7" s="6" t="s">
        <v>10</v>
      </c>
      <c r="D7" s="6" t="s">
        <v>11</v>
      </c>
      <c r="E7" s="6" t="s">
        <v>12</v>
      </c>
      <c r="F7" s="7" t="s">
        <v>13</v>
      </c>
      <c r="G7" s="9" t="s">
        <v>38</v>
      </c>
    </row>
  </sheetData>
  <sortState xmlns:xlrd2="http://schemas.microsoft.com/office/spreadsheetml/2017/richdata2" ref="A3:G7">
    <sortCondition ref="A3:A7"/>
  </sortState>
  <conditionalFormatting sqref="A3: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6C5ED-89B8-4284-9ED7-42F21A337867}">
  <dimension ref="A2:E7"/>
  <sheetViews>
    <sheetView workbookViewId="0"/>
  </sheetViews>
  <sheetFormatPr baseColWidth="10" defaultRowHeight="15" x14ac:dyDescent="0.2"/>
  <cols>
    <col min="3" max="3" width="42.6640625" style="10" customWidth="1"/>
    <col min="4" max="5" width="11.5" style="18"/>
  </cols>
  <sheetData>
    <row r="2" spans="1:5" ht="29" x14ac:dyDescent="0.2">
      <c r="B2" s="19" t="s">
        <v>45</v>
      </c>
      <c r="C2" s="20" t="s">
        <v>39</v>
      </c>
      <c r="D2" s="16" t="s">
        <v>48</v>
      </c>
      <c r="E2" s="21" t="s">
        <v>7</v>
      </c>
    </row>
    <row r="3" spans="1:5" ht="56" x14ac:dyDescent="0.2">
      <c r="A3" s="8">
        <v>1</v>
      </c>
      <c r="B3" s="9" t="s">
        <v>33</v>
      </c>
      <c r="C3" s="9" t="s">
        <v>44</v>
      </c>
      <c r="D3" s="13">
        <v>1.2170914647370606E-2</v>
      </c>
      <c r="E3" s="13">
        <v>5.7097703900819505E-3</v>
      </c>
    </row>
    <row r="4" spans="1:5" ht="70" x14ac:dyDescent="0.2">
      <c r="A4" s="8">
        <v>2</v>
      </c>
      <c r="B4" s="9" t="s">
        <v>27</v>
      </c>
      <c r="C4" s="9" t="s">
        <v>43</v>
      </c>
      <c r="D4" s="13">
        <v>3.7437434805835723E-2</v>
      </c>
      <c r="E4" s="13">
        <v>2.7453836450675177E-2</v>
      </c>
    </row>
    <row r="5" spans="1:5" ht="56" x14ac:dyDescent="0.2">
      <c r="A5" s="8">
        <v>3</v>
      </c>
      <c r="B5" s="9" t="s">
        <v>46</v>
      </c>
      <c r="C5" s="9" t="s">
        <v>42</v>
      </c>
      <c r="D5" s="13">
        <v>0.17306709701598244</v>
      </c>
      <c r="E5" s="13">
        <v>8.5585773528702475E-2</v>
      </c>
    </row>
    <row r="6" spans="1:5" ht="98" x14ac:dyDescent="0.2">
      <c r="A6" s="8">
        <v>4</v>
      </c>
      <c r="B6" s="9" t="s">
        <v>21</v>
      </c>
      <c r="C6" s="9" t="s">
        <v>41</v>
      </c>
      <c r="D6" s="13">
        <v>0.40799069716214165</v>
      </c>
      <c r="E6" s="13">
        <v>3.8554977163593233E-2</v>
      </c>
    </row>
    <row r="7" spans="1:5" ht="98" x14ac:dyDescent="0.2">
      <c r="A7" s="8">
        <v>5</v>
      </c>
      <c r="B7" s="9" t="s">
        <v>15</v>
      </c>
      <c r="C7" s="9" t="s">
        <v>40</v>
      </c>
      <c r="D7" s="13">
        <v>0.62834985959455081</v>
      </c>
      <c r="E7" s="13">
        <v>7.6041167466464554E-2</v>
      </c>
    </row>
  </sheetData>
  <sortState xmlns:xlrd2="http://schemas.microsoft.com/office/spreadsheetml/2017/richdata2" ref="A3:E7">
    <sortCondition ref="A3:A7"/>
  </sortState>
  <conditionalFormatting sqref="A3:A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b772d4-cf21-48c5-a942-c9f34a811402" xsi:nil="true"/>
    <lcf76f155ced4ddcb4097134ff3c332f xmlns="fb23e1f3-10bc-4c65-8867-63bb51db487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8E89F2510D0BC42891B08149660135F" ma:contentTypeVersion="13" ma:contentTypeDescription="Crear nuevo documento." ma:contentTypeScope="" ma:versionID="de07110555bcd519c79fb9559584d4e9">
  <xsd:schema xmlns:xsd="http://www.w3.org/2001/XMLSchema" xmlns:xs="http://www.w3.org/2001/XMLSchema" xmlns:p="http://schemas.microsoft.com/office/2006/metadata/properties" xmlns:ns2="fb23e1f3-10bc-4c65-8867-63bb51db4876" xmlns:ns3="46b772d4-cf21-48c5-a942-c9f34a811402" targetNamespace="http://schemas.microsoft.com/office/2006/metadata/properties" ma:root="true" ma:fieldsID="74fe5e3879639cf8e10b81a5b481af1b" ns2:_="" ns3:_="">
    <xsd:import namespace="fb23e1f3-10bc-4c65-8867-63bb51db4876"/>
    <xsd:import namespace="46b772d4-cf21-48c5-a942-c9f34a8114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3e1f3-10bc-4c65-8867-63bb51db48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6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b772d4-cf21-48c5-a942-c9f34a811402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b235337-97c0-48a6-9d26-52c223a00d9c}" ma:internalName="TaxCatchAll" ma:showField="CatchAllData" ma:web="46b772d4-cf21-48c5-a942-c9f34a8114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5AEFD7-F0FC-4629-B147-E9C3335F769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0A5882-3E08-4AAB-94C1-4FE04B490F85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dcmitype/"/>
    <ds:schemaRef ds:uri="46b772d4-cf21-48c5-a942-c9f34a811402"/>
    <ds:schemaRef ds:uri="http://www.w3.org/XML/1998/namespace"/>
    <ds:schemaRef ds:uri="fb23e1f3-10bc-4c65-8867-63bb51db4876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ACBC5A11-1CCD-4063-8076-C63E7C5599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23e1f3-10bc-4c65-8867-63bb51db4876"/>
    <ds:schemaRef ds:uri="46b772d4-cf21-48c5-a942-c9f34a8114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Fallas Tecnológicas (2)</vt:lpstr>
      <vt:lpstr>Fallas Tecnológicas</vt:lpstr>
      <vt:lpstr>Riesgos</vt:lpstr>
      <vt:lpstr>Gestión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Peña Palacio</dc:creator>
  <cp:keywords/>
  <dc:description/>
  <cp:lastModifiedBy>Maria Jose Muskus Londoño</cp:lastModifiedBy>
  <cp:revision/>
  <dcterms:created xsi:type="dcterms:W3CDTF">2013-02-21T14:05:05Z</dcterms:created>
  <dcterms:modified xsi:type="dcterms:W3CDTF">2026-02-06T01:13:39Z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0x010100D8E89F2510D0BC42891B08149660135F</vt:lpwstr>
  </property>
  <property fmtid="{D5CDD505-2E9C-101B-9397-08002B2CF9AE}" pid="3" name="ComplianceAssetId">
    <vt:lpwstr/>
  </property>
  <property fmtid="{D5CDD505-2E9C-101B-9397-08002B2CF9AE}" pid="4" name="_ExtendedDescription">
    <vt:lpwstr/>
  </property>
  <property fmtid="{D5CDD505-2E9C-101B-9397-08002B2CF9AE}" pid="5" name="TriggerFlowInfo">
    <vt:lpwstr/>
  </property>
  <property fmtid="{D5CDD505-2E9C-101B-9397-08002B2CF9AE}" pid="6" name="MediaServiceImageTags">
    <vt:lpwstr/>
  </property>
</Properties>
</file>